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skseguros1-my.sharepoint.com/personal/sara_rubiano_buskseguros_com/Documents/Documents/Anexos API/"/>
    </mc:Choice>
  </mc:AlternateContent>
  <xr:revisionPtr revIDLastSave="22" documentId="8_{9FEA951D-C61D-4364-B274-78F57670F32C}" xr6:coauthVersionLast="47" xr6:coauthVersionMax="47" xr10:uidLastSave="{2C983A05-57C9-4497-A267-38D2AEC7980D}"/>
  <bookViews>
    <workbookView xWindow="20370" yWindow="855" windowWidth="29040" windowHeight="15720" xr2:uid="{1D4DF171-17DD-4FF5-B07D-65CDB73B2636}"/>
  </bookViews>
  <sheets>
    <sheet name="DEUDORES MICRO Y PYME BANCO" sheetId="1" r:id="rId1"/>
    <sheet name="DEUDORES MICRO Y PYME ESAL" sheetId="2" state="hidden" r:id="rId2"/>
  </sheets>
  <definedNames>
    <definedName name="_xlnm._FilterDatabase" localSheetId="0" hidden="1">'DEUDORES MICRO Y PYME BANCO'!$A$1:$V$3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5" i="2" l="1"/>
  <c r="T2" i="2"/>
</calcChain>
</file>

<file path=xl/sharedStrings.xml><?xml version="1.0" encoding="utf-8"?>
<sst xmlns="http://schemas.openxmlformats.org/spreadsheetml/2006/main" count="91" uniqueCount="50">
  <si>
    <t>Nro</t>
  </si>
  <si>
    <t>POLIZA</t>
  </si>
  <si>
    <t>CODIGO SEGURO</t>
  </si>
  <si>
    <t>IDENTIFICACION</t>
  </si>
  <si>
    <t>APELLIDO PATERNO</t>
  </si>
  <si>
    <t>APELLIDO MATERNO</t>
  </si>
  <si>
    <t>NOMBRES</t>
  </si>
  <si>
    <t>FECHA DE NACIMIENTO</t>
  </si>
  <si>
    <t>GENERO</t>
  </si>
  <si>
    <t>OP BT</t>
  </si>
  <si>
    <t xml:space="preserve">FECHA ADJUDICACION </t>
  </si>
  <si>
    <t>FECHA VENCIMIENTO ACTUAL</t>
  </si>
  <si>
    <t>CO</t>
  </si>
  <si>
    <t>OFICINA</t>
  </si>
  <si>
    <t>ASESOR</t>
  </si>
  <si>
    <t>DEUDA INICIAL</t>
  </si>
  <si>
    <t xml:space="preserve">PRIMA MENSUAL </t>
  </si>
  <si>
    <t>%</t>
  </si>
  <si>
    <t>PLAZO CALCULADO</t>
  </si>
  <si>
    <t>OBSERVACIONES</t>
  </si>
  <si>
    <t>Facturacion junio</t>
  </si>
  <si>
    <t>TIPOIDENTIFICACION</t>
  </si>
  <si>
    <t>MiPyme</t>
  </si>
  <si>
    <t>FECHA VENCIMIENTO</t>
  </si>
  <si>
    <t>Microcredito</t>
  </si>
  <si>
    <t>PAZ</t>
  </si>
  <si>
    <t>MATABAJOY</t>
  </si>
  <si>
    <t>YIMMI ABELARDO</t>
  </si>
  <si>
    <t>Pasto Centro</t>
  </si>
  <si>
    <t xml:space="preserve">ROSERO MELO OSCAR WILSON      </t>
  </si>
  <si>
    <t>Facturacion JUNIO</t>
  </si>
  <si>
    <t>pyme</t>
  </si>
  <si>
    <t xml:space="preserve">ROSERO                        </t>
  </si>
  <si>
    <t xml:space="preserve">IBARRA                        </t>
  </si>
  <si>
    <t xml:space="preserve">WUILIAM FERNANDO                 </t>
  </si>
  <si>
    <t>GESTOR DE COBRANZA IPIALES CAT</t>
  </si>
  <si>
    <t xml:space="preserve">TIPO DOCUMENTO </t>
  </si>
  <si>
    <t>OBSERVACIONES DICIEMBRE</t>
  </si>
  <si>
    <t xml:space="preserve">INCHUCHALA                    </t>
  </si>
  <si>
    <t xml:space="preserve">TUCANES                       </t>
  </si>
  <si>
    <t>GLORIA EVILA</t>
  </si>
  <si>
    <t>Femenino</t>
  </si>
  <si>
    <t>Ipiales Catedral</t>
  </si>
  <si>
    <t>MAFLA BETANCOURTH ALEJANDRO BO</t>
  </si>
  <si>
    <t>Facturación Diciembre</t>
  </si>
  <si>
    <t xml:space="preserve">OVIEDO                        </t>
  </si>
  <si>
    <t xml:space="preserve">ESCOBAR                       </t>
  </si>
  <si>
    <t>EDWIN MAURICIO</t>
  </si>
  <si>
    <t>Iles</t>
  </si>
  <si>
    <t xml:space="preserve">CABRERA PANTOJA TANIA ISABEL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</si>
</sst>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00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b/>
      <sz val="1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4" fontId="0" fillId="2" borderId="0" xfId="0" applyNumberForma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14" fontId="0" fillId="0" borderId="0" xfId="0" applyNumberFormat="1"/>
    <xf numFmtId="164" fontId="0" fillId="0" borderId="0" xfId="1" applyNumberFormat="1" applyFont="1"/>
    <xf numFmtId="165" fontId="0" fillId="0" borderId="0" xfId="2" applyNumberFormat="1" applyFont="1"/>
    <xf numFmtId="0" fontId="3" fillId="3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1" fontId="0" fillId="0" borderId="0" xfId="0" applyNumberFormat="1"/>
    <xf numFmtId="0" fontId="0" fillId="5" borderId="0" xfId="0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1" fontId="3" fillId="3" borderId="0" xfId="0" applyNumberFormat="1" applyFont="1" applyFill="1" applyAlignment="1">
      <alignment horizontal="center" vertical="center" wrapText="1"/>
    </xf>
    <xf numFmtId="0" fontId="5" fillId="6" borderId="0" xfId="0" applyFont="1" applyFill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164" fontId="0" fillId="0" borderId="0" xfId="3" applyNumberFormat="1" applyFont="1"/>
    <xf numFmtId="1" fontId="0" fillId="0" borderId="0" xfId="2" applyNumberFormat="1" applyFont="1" applyAlignment="1">
      <alignment horizontal="center"/>
    </xf>
    <xf numFmtId="0" fontId="0" fillId="0" borderId="0" xfId="0" applyAlignment="1">
      <alignment horizontal="left"/>
    </xf>
    <xf numFmtId="10" fontId="0" fillId="0" borderId="0" xfId="2" applyNumberFormat="1" applyFont="1" applyAlignment="1">
      <alignment horizontal="center" vertical="center" wrapText="1"/>
    </xf>
    <xf numFmtId="10" fontId="0" fillId="0" borderId="0" xfId="2" applyNumberFormat="1" applyFont="1"/>
  </cellXfs>
  <cellStyles count="4">
    <cellStyle name="Millares" xfId="1" builtinId="3"/>
    <cellStyle name="Millares 2" xfId="3" xr:uid="{05E7DD73-2B12-4565-AE1B-EEE43E679E5A}"/>
    <cellStyle name="Normal" xfId="0" builtinId="0"/>
    <cellStyle name="Porcentaje" xfId="2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75450-6728-4CC3-9A0B-286BC6D372EC}">
  <dimension ref="A1:W3"/>
  <sheetViews>
    <sheetView tabSelected="1" zoomScale="85" zoomScaleNormal="85" workbookViewId="0">
      <selection activeCell="C8" sqref="C8"/>
    </sheetView>
  </sheetViews>
  <sheetFormatPr baseColWidth="10" defaultRowHeight="15" x14ac:dyDescent="0.25"/>
  <cols>
    <col min="13" max="13" width="13.7109375" customWidth="1"/>
    <col min="14" max="14" width="16.42578125" customWidth="1"/>
    <col min="17" max="17" width="33" customWidth="1"/>
    <col min="18" max="18" width="15.5703125" customWidth="1"/>
    <col min="20" max="20" width="11.42578125" style="21"/>
    <col min="21" max="21" width="16.140625" customWidth="1"/>
    <col min="22" max="22" width="29.5703125" customWidth="1"/>
  </cols>
  <sheetData>
    <row r="1" spans="1:23" ht="56.25" customHeight="1" x14ac:dyDescent="0.25">
      <c r="A1" s="1" t="s">
        <v>0</v>
      </c>
      <c r="B1" s="1" t="s">
        <v>1</v>
      </c>
      <c r="C1" s="1" t="s">
        <v>2</v>
      </c>
      <c r="D1" s="1" t="s">
        <v>36</v>
      </c>
      <c r="E1" s="1" t="s">
        <v>3</v>
      </c>
      <c r="F1" s="1" t="s">
        <v>4</v>
      </c>
      <c r="G1" s="1" t="s">
        <v>5</v>
      </c>
      <c r="H1" s="1" t="s">
        <v>6</v>
      </c>
      <c r="I1" s="2" t="s">
        <v>7</v>
      </c>
      <c r="J1" s="1" t="s">
        <v>8</v>
      </c>
      <c r="K1" s="1" t="s">
        <v>9</v>
      </c>
      <c r="L1" s="2" t="s">
        <v>10</v>
      </c>
      <c r="M1" s="2" t="s">
        <v>11</v>
      </c>
      <c r="N1" s="3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20" t="s">
        <v>17</v>
      </c>
      <c r="U1" s="14" t="s">
        <v>18</v>
      </c>
      <c r="V1" s="15" t="s">
        <v>37</v>
      </c>
      <c r="W1" s="16"/>
    </row>
    <row r="2" spans="1:23" x14ac:dyDescent="0.25">
      <c r="A2">
        <v>1</v>
      </c>
      <c r="B2">
        <v>105</v>
      </c>
      <c r="C2">
        <v>710</v>
      </c>
      <c r="D2">
        <v>1</v>
      </c>
      <c r="E2">
        <v>27254759</v>
      </c>
      <c r="F2" t="s">
        <v>38</v>
      </c>
      <c r="G2" t="s">
        <v>39</v>
      </c>
      <c r="H2" t="s">
        <v>40</v>
      </c>
      <c r="I2" s="6">
        <v>23404</v>
      </c>
      <c r="J2" t="s">
        <v>41</v>
      </c>
      <c r="K2">
        <v>1220739</v>
      </c>
      <c r="L2" s="6">
        <v>44466</v>
      </c>
      <c r="M2" s="6">
        <v>46058</v>
      </c>
      <c r="N2" s="6">
        <v>46058</v>
      </c>
      <c r="O2">
        <v>16</v>
      </c>
      <c r="P2" t="s">
        <v>42</v>
      </c>
      <c r="Q2" t="s">
        <v>43</v>
      </c>
      <c r="R2" s="17">
        <v>23717600</v>
      </c>
      <c r="S2" s="17">
        <v>23717.600000000002</v>
      </c>
      <c r="T2" s="21">
        <v>1E-3</v>
      </c>
      <c r="U2" s="18">
        <v>53</v>
      </c>
      <c r="V2" s="19" t="s">
        <v>44</v>
      </c>
      <c r="W2" s="19"/>
    </row>
    <row r="3" spans="1:23" x14ac:dyDescent="0.25">
      <c r="A3">
        <v>2</v>
      </c>
      <c r="B3">
        <v>105</v>
      </c>
      <c r="C3">
        <v>710</v>
      </c>
      <c r="D3">
        <v>1</v>
      </c>
      <c r="E3">
        <v>1087673308</v>
      </c>
      <c r="F3" t="s">
        <v>45</v>
      </c>
      <c r="G3" t="s">
        <v>46</v>
      </c>
      <c r="H3" t="s">
        <v>47</v>
      </c>
      <c r="I3" s="6">
        <v>33261</v>
      </c>
      <c r="J3">
        <v>2</v>
      </c>
      <c r="K3">
        <v>1221809</v>
      </c>
      <c r="L3" s="6">
        <v>44468</v>
      </c>
      <c r="M3" s="6">
        <v>46060</v>
      </c>
      <c r="N3" s="6">
        <v>46060</v>
      </c>
      <c r="O3">
        <v>51</v>
      </c>
      <c r="P3" t="s">
        <v>48</v>
      </c>
      <c r="Q3" t="s">
        <v>49</v>
      </c>
      <c r="R3" s="17">
        <v>26081600</v>
      </c>
      <c r="S3" s="17">
        <v>26081.600000000002</v>
      </c>
      <c r="T3" s="21">
        <v>1E-3</v>
      </c>
      <c r="U3" s="18">
        <v>53</v>
      </c>
      <c r="V3" s="19" t="s">
        <v>44</v>
      </c>
      <c r="W3" s="19"/>
    </row>
  </sheetData>
  <autoFilter ref="A1:V3" xr:uid="{FC875450-6728-4CC3-9A0B-286BC6D372EC}"/>
  <conditionalFormatting sqref="E1:E3">
    <cfRule type="duplicateValues" dxfId="1" priority="1"/>
  </conditionalFormatting>
  <conditionalFormatting sqref="K1:K3">
    <cfRule type="duplicateValues" dxfId="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65A99-AEE1-4FFD-AF72-6A0FA45AE889}">
  <dimension ref="A1:U5"/>
  <sheetViews>
    <sheetView workbookViewId="0">
      <selection activeCell="I10" sqref="I10"/>
    </sheetView>
  </sheetViews>
  <sheetFormatPr baseColWidth="10" defaultRowHeight="15" x14ac:dyDescent="0.25"/>
  <cols>
    <col min="17" max="17" width="14.140625" customWidth="1"/>
  </cols>
  <sheetData>
    <row r="1" spans="1:21" ht="45" x14ac:dyDescent="0.25">
      <c r="A1" s="1" t="s">
        <v>0</v>
      </c>
      <c r="B1" s="1" t="s">
        <v>1</v>
      </c>
      <c r="C1" s="1" t="s">
        <v>2</v>
      </c>
      <c r="D1" s="1" t="s">
        <v>21</v>
      </c>
      <c r="E1" s="1" t="s">
        <v>3</v>
      </c>
      <c r="F1" s="1" t="s">
        <v>4</v>
      </c>
      <c r="G1" s="1" t="s">
        <v>5</v>
      </c>
      <c r="H1" s="1" t="s">
        <v>6</v>
      </c>
      <c r="I1" s="2" t="s">
        <v>7</v>
      </c>
      <c r="J1" s="1" t="s">
        <v>8</v>
      </c>
      <c r="K1" s="1" t="s">
        <v>9</v>
      </c>
      <c r="L1" s="2" t="s">
        <v>10</v>
      </c>
      <c r="M1" s="2" t="s">
        <v>23</v>
      </c>
      <c r="N1" s="1" t="s">
        <v>12</v>
      </c>
      <c r="O1" s="1" t="s">
        <v>13</v>
      </c>
      <c r="P1" s="1" t="s">
        <v>14</v>
      </c>
      <c r="Q1" s="1" t="s">
        <v>15</v>
      </c>
      <c r="R1" s="10" t="s">
        <v>16</v>
      </c>
      <c r="S1" s="1" t="s">
        <v>17</v>
      </c>
      <c r="T1" s="4" t="s">
        <v>18</v>
      </c>
      <c r="U1" s="5" t="s">
        <v>19</v>
      </c>
    </row>
    <row r="2" spans="1:21" x14ac:dyDescent="0.25">
      <c r="A2">
        <v>1</v>
      </c>
      <c r="B2" t="s">
        <v>24</v>
      </c>
      <c r="C2">
        <v>710</v>
      </c>
      <c r="D2">
        <v>1</v>
      </c>
      <c r="E2" s="11">
        <v>1086328361</v>
      </c>
      <c r="F2" t="s">
        <v>25</v>
      </c>
      <c r="G2" t="s">
        <v>26</v>
      </c>
      <c r="H2" t="s">
        <v>27</v>
      </c>
      <c r="I2" s="6">
        <v>31613</v>
      </c>
      <c r="J2">
        <v>2</v>
      </c>
      <c r="K2">
        <v>1579726</v>
      </c>
      <c r="L2" s="6">
        <v>45164</v>
      </c>
      <c r="M2" s="6">
        <v>46275</v>
      </c>
      <c r="N2">
        <v>28</v>
      </c>
      <c r="O2" t="s">
        <v>28</v>
      </c>
      <c r="P2" t="s">
        <v>29</v>
      </c>
      <c r="Q2" s="7">
        <v>12000000</v>
      </c>
      <c r="R2" s="7">
        <v>9996</v>
      </c>
      <c r="S2" s="8">
        <v>8.3299999999999997E-4</v>
      </c>
      <c r="T2">
        <f>ROUNDDOWN(_xlfn.DAYS(M2,L2)/30,0)</f>
        <v>37</v>
      </c>
      <c r="U2" t="s">
        <v>30</v>
      </c>
    </row>
    <row r="4" spans="1:21" ht="45" x14ac:dyDescent="0.25">
      <c r="A4" s="1" t="s">
        <v>0</v>
      </c>
      <c r="B4" s="1" t="s">
        <v>1</v>
      </c>
      <c r="C4" s="1" t="s">
        <v>2</v>
      </c>
      <c r="D4" s="1" t="s">
        <v>21</v>
      </c>
      <c r="E4" s="1" t="s">
        <v>3</v>
      </c>
      <c r="F4" s="1" t="s">
        <v>4</v>
      </c>
      <c r="G4" s="1" t="s">
        <v>5</v>
      </c>
      <c r="H4" s="1" t="s">
        <v>6</v>
      </c>
      <c r="I4" s="2" t="s">
        <v>7</v>
      </c>
      <c r="J4" s="1" t="s">
        <v>8</v>
      </c>
      <c r="K4" s="1" t="s">
        <v>9</v>
      </c>
      <c r="L4" s="2" t="s">
        <v>10</v>
      </c>
      <c r="M4" s="2" t="s">
        <v>23</v>
      </c>
      <c r="N4" s="1" t="s">
        <v>12</v>
      </c>
      <c r="O4" s="1" t="s">
        <v>13</v>
      </c>
      <c r="P4" s="1" t="s">
        <v>14</v>
      </c>
      <c r="Q4" s="1" t="s">
        <v>15</v>
      </c>
      <c r="R4" s="12" t="s">
        <v>16</v>
      </c>
      <c r="S4" s="1" t="s">
        <v>17</v>
      </c>
      <c r="T4" s="9" t="s">
        <v>18</v>
      </c>
      <c r="U4" s="13" t="s">
        <v>19</v>
      </c>
    </row>
    <row r="5" spans="1:21" x14ac:dyDescent="0.25">
      <c r="A5">
        <v>1</v>
      </c>
      <c r="B5" t="s">
        <v>31</v>
      </c>
      <c r="C5">
        <v>740</v>
      </c>
      <c r="D5">
        <v>1</v>
      </c>
      <c r="E5">
        <v>87719014</v>
      </c>
      <c r="F5" t="s">
        <v>32</v>
      </c>
      <c r="G5" t="s">
        <v>33</v>
      </c>
      <c r="H5" t="s">
        <v>34</v>
      </c>
      <c r="I5" s="6">
        <v>27986</v>
      </c>
      <c r="J5">
        <v>2</v>
      </c>
      <c r="K5">
        <v>1240332</v>
      </c>
      <c r="L5" s="6">
        <v>44519</v>
      </c>
      <c r="M5" s="6">
        <v>47181</v>
      </c>
      <c r="N5">
        <v>501</v>
      </c>
      <c r="O5" t="s">
        <v>22</v>
      </c>
      <c r="P5" t="s">
        <v>35</v>
      </c>
      <c r="Q5" s="7">
        <v>180000000</v>
      </c>
      <c r="R5" s="7">
        <v>75060</v>
      </c>
      <c r="S5" s="8">
        <v>4.17E-4</v>
      </c>
      <c r="T5">
        <f>ROUNDDOWN(_xlfn.DAYS(M5,L5)/30,0)</f>
        <v>88</v>
      </c>
      <c r="U5" t="s">
        <v>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D0FD620548A2E448D9D8662464559F1" ma:contentTypeVersion="16" ma:contentTypeDescription="Crear nuevo documento." ma:contentTypeScope="" ma:versionID="576f94eb73782fb13ccaa8b10c33e455">
  <xsd:schema xmlns:xsd="http://www.w3.org/2001/XMLSchema" xmlns:xs="http://www.w3.org/2001/XMLSchema" xmlns:p="http://schemas.microsoft.com/office/2006/metadata/properties" xmlns:ns2="9c5a6264-8b6e-4bf1-84ab-bec107416175" xmlns:ns3="9e5edaf5-ea2b-4c5c-aa9e-093660c41b40" targetNamespace="http://schemas.microsoft.com/office/2006/metadata/properties" ma:root="true" ma:fieldsID="6f07830e2700e29e2a0011b1fa6ca920" ns2:_="" ns3:_="">
    <xsd:import namespace="9c5a6264-8b6e-4bf1-84ab-bec107416175"/>
    <xsd:import namespace="9e5edaf5-ea2b-4c5c-aa9e-093660c41b4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5a6264-8b6e-4bf1-84ab-bec1074161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e82fb194-05ba-4a3e-8e2a-3a50d95218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5edaf5-ea2b-4c5c-aa9e-093660c41b40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e68c3799-5d6b-4fc4-84d0-86547b51477d}" ma:internalName="TaxCatchAll" ma:showField="CatchAllData" ma:web="9e5edaf5-ea2b-4c5c-aa9e-093660c41b4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c5a6264-8b6e-4bf1-84ab-bec107416175">
      <Terms xmlns="http://schemas.microsoft.com/office/infopath/2007/PartnerControls"/>
    </lcf76f155ced4ddcb4097134ff3c332f>
    <TaxCatchAll xmlns="9e5edaf5-ea2b-4c5c-aa9e-093660c41b40" xsi:nil="true"/>
  </documentManagement>
</p:properties>
</file>

<file path=customXml/itemProps1.xml><?xml version="1.0" encoding="utf-8"?>
<ds:datastoreItem xmlns:ds="http://schemas.openxmlformats.org/officeDocument/2006/customXml" ds:itemID="{E3075F6C-8439-4F4C-B761-8DAD3418BC59}"/>
</file>

<file path=customXml/itemProps2.xml><?xml version="1.0" encoding="utf-8"?>
<ds:datastoreItem xmlns:ds="http://schemas.openxmlformats.org/officeDocument/2006/customXml" ds:itemID="{28DF227F-76D4-4B9B-8E71-471B5F0B22F0}"/>
</file>

<file path=customXml/itemProps3.xml><?xml version="1.0" encoding="utf-8"?>
<ds:datastoreItem xmlns:ds="http://schemas.openxmlformats.org/officeDocument/2006/customXml" ds:itemID="{D330B91F-3B75-4AAC-8DDB-7D6032FB32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DEUDORES MICRO Y PYME BANCO</vt:lpstr>
      <vt:lpstr>DEUDORES MICRO Y PYME ESAL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Rubiano</dc:creator>
  <cp:lastModifiedBy>Sara Rubiano</cp:lastModifiedBy>
  <dcterms:created xsi:type="dcterms:W3CDTF">2025-07-23T20:50:20Z</dcterms:created>
  <dcterms:modified xsi:type="dcterms:W3CDTF">2026-03-06T16:58:17Z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0x0101008D0FD620548A2E448D9D8662464559F1</vt:lpwstr>
  </property>
</Properties>
</file>