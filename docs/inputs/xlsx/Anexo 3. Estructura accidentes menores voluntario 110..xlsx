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Anexos API/"/>
    </mc:Choice>
  </mc:AlternateContent>
  <xr:revisionPtr revIDLastSave="16" documentId="8_{60EB811D-D441-45D6-861B-52DAF3F9150B}" xr6:coauthVersionLast="47" xr6:coauthVersionMax="47" xr10:uidLastSave="{67E766B5-6A65-4241-920E-19E2AF7810E0}"/>
  <bookViews>
    <workbookView xWindow="20370" yWindow="855" windowWidth="29040" windowHeight="15720" firstSheet="2" activeTab="3" xr2:uid="{7FC641C6-887E-49A7-AF2F-86D8E36B9690}"/>
  </bookViews>
  <sheets>
    <sheet name="VIDA VOLUNTARIO" sheetId="1" state="hidden" r:id="rId1"/>
    <sheet name="AP + CANCER VOLUNTARIO" sheetId="3" state="hidden" r:id="rId2"/>
    <sheet name="ACCIDENTES MENORES VOLUNTARIO" sheetId="2" r:id="rId3"/>
    <sheet name="ACCIDENTES MENORES VOL_STOCK" sheetId="4" r:id="rId4"/>
  </sheets>
  <definedNames>
    <definedName name="_xlnm._FilterDatabase" localSheetId="2" hidden="1">'ACCIDENTES MENORES VOLUNTARIO'!$A$1:$DE$2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<sst xmlns="http://schemas.openxmlformats.org/spreadsheetml/2006/main" count="472" uniqueCount="220">
  <si>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</si>
  <si>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</si>
  <si>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</si>
  <si>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</si>
  <si>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</si>
  <si>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</si>
  <si>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</si>
  <si>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</si>
  <si>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</si>
  <si>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</si>
  <si>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</si>
  <si>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</si>
  <si>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</si>
  <si>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</si>
  <si>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</si>
  <si>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</si>
  <si>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</si>
  <si>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</si>
  <si>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</si>
  <si>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</si>
  <si>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</si>
  <si>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</si>
  <si>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</si>
  <si>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</si>
  <si>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</si>
  <si>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</si>
  <si>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</si>
  <si>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</si>
  <si>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</si>
  <si>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</si>
  <si>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</si>
  <si>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</si>
  <si>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</si>
  <si>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</si>
  <si>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</si>
  <si>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</si>
  <si>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</si>
  <si>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</si>
  <si>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</si>
  <si>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</si>
  <si>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</si>
  <si>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</si>
  <si>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</si>
  <si>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</si>
  <si>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Fátima</t>
  </si>
  <si>
    <t>CEDULA CIUDADANIA</t>
  </si>
  <si>
    <t>MOSQUERA</t>
  </si>
  <si>
    <t/>
  </si>
  <si>
    <t>SANDRA PATRICIA</t>
  </si>
  <si>
    <t>Femenino</t>
  </si>
  <si>
    <t>Plan 1</t>
  </si>
  <si>
    <t>CORDOBA LASSO GERMAN MAURICIO</t>
  </si>
  <si>
    <t xml:space="preserve">CEDULA CIUDADANIA   </t>
  </si>
  <si>
    <t>JOSE IVAN</t>
  </si>
  <si>
    <t xml:space="preserve">CARLOZAMA                     </t>
  </si>
  <si>
    <t xml:space="preserve">DELGADO                       </t>
  </si>
  <si>
    <t>sandrapatriciamosquera0810@gmail.com</t>
  </si>
  <si>
    <t>MANZANA F CASA 18</t>
  </si>
  <si>
    <t>NO.</t>
  </si>
  <si>
    <t>PRODUCTO</t>
  </si>
  <si>
    <t>POLIZA GRUPO</t>
  </si>
  <si>
    <t>PLAN</t>
  </si>
  <si>
    <t>COD PLAN</t>
  </si>
  <si>
    <t>TIPO DOC</t>
  </si>
  <si>
    <t>NUM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</si>
  <si>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</si>
  <si>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</si>
  <si>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</si>
  <si>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</si>
  <si>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</si>
  <si>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</si>
  <si>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</si>
  <si>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PRIMA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</si>
  <si>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</si>
  <si>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</si>
  <si>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</si>
  <si>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</si>
  <si>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</si>
  <si>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</si>
  <si>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</si>
  <si>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</si>
  <si>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</si>
  <si>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</si>
  <si>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</si>
  <si>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</si>
  <si>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</si>
  <si>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</si>
  <si>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</si>
  <si>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</si>
  <si>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</si>
  <si>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</si>
  <si>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</si>
  <si>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</si>
  <si>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</si>
  <si>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</si>
  <si>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</si>
  <si>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</si>
  <si>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</si>
  <si>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</si>
  <si>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</si>
  <si>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</si>
  <si>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</si>
  <si>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</si>
  <si>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</si>
  <si>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</si>
  <si>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</si>
  <si>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</si>
  <si>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</si>
  <si>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</si>
  <si>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</si>
  <si>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</si>
  <si>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</si>
  <si>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</si>
  <si>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</si>
  <si>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</si>
  <si>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</si>
  <si>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</si>
  <si>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</si>
  <si>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</si>
  <si>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</si>
  <si>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</si>
  <si>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</si>
  <si>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</si>
  <si>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</si>
  <si>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</si>
  <si>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COD PARENTESCOB1</t>
  </si>
  <si>
    <t>TXT APELLIDO1B2</t>
  </si>
  <si>
    <t>COD PARENTESCOB2</t>
  </si>
  <si>
    <t>TXT APELLIDO1B3</t>
  </si>
  <si>
    <t>TXT APELLIDO2B3</t>
  </si>
  <si>
    <t>COD PARENTESCOB3</t>
  </si>
  <si>
    <t>PLAZO</t>
  </si>
  <si>
    <t>TIP DOCUMENTOASESOR</t>
  </si>
  <si>
    <t>NUM DOCUMENTOASESOR</t>
  </si>
  <si>
    <t>ASESOR</t>
  </si>
  <si>
    <t>ZONA</t>
  </si>
  <si>
    <t>REGION</t>
  </si>
  <si>
    <t>CUENTA</t>
  </si>
  <si>
    <t>SUC</t>
  </si>
  <si>
    <t>ACCIDENTES MENORES</t>
  </si>
  <si>
    <t xml:space="preserve">NARIÑO              </t>
  </si>
  <si>
    <t>JHOAN SEBASTIAN</t>
  </si>
  <si>
    <t xml:space="preserve">CARLOSAMA                     </t>
  </si>
  <si>
    <t xml:space="preserve">MOSQUERA                      </t>
  </si>
  <si>
    <t>Zona Nariño Sur</t>
  </si>
  <si>
    <t>REGION SUR OCCIDENTE</t>
  </si>
  <si>
    <t>COD CEDULA</t>
  </si>
  <si>
    <t>COD DOCUM</t>
  </si>
  <si>
    <t>MI SALUD / CANCER</t>
  </si>
  <si>
    <t>MARIA DEL PILAR</t>
  </si>
  <si>
    <t>HERNANDEZ</t>
  </si>
  <si>
    <t>TOVAR</t>
  </si>
  <si>
    <t>VEREDA CHIA</t>
  </si>
  <si>
    <t>mariadelpilarhernandez150@gmail.com</t>
  </si>
  <si>
    <t xml:space="preserve">HUILA               </t>
  </si>
  <si>
    <t>LUIS ALFREDO</t>
  </si>
  <si>
    <t xml:space="preserve">ARAGONEZ                      </t>
  </si>
  <si>
    <t xml:space="preserve">FERREIRA                      </t>
  </si>
  <si>
    <t>GAITAN NIETO TANIA</t>
  </si>
  <si>
    <t>Campo Alegre</t>
  </si>
  <si>
    <t>Zona Huila Norte</t>
  </si>
  <si>
    <t>REGION CENTRO</t>
  </si>
  <si>
    <t>S</t>
  </si>
  <si>
    <t>Email no valido</t>
  </si>
  <si>
    <t>Ok notificación</t>
  </si>
  <si>
    <t>OK EMITIDA</t>
  </si>
  <si>
    <t>REGION CENTRO ORIENTE</t>
  </si>
  <si>
    <t>Zona Boyaca</t>
  </si>
  <si>
    <t>Tunja</t>
  </si>
  <si>
    <t>LA ROTTA VASQUEZ LADY CAROLINA</t>
  </si>
  <si>
    <t>PARRA</t>
  </si>
  <si>
    <t>RODRIGUEZ</t>
  </si>
  <si>
    <t>NILSON OSMEDO</t>
  </si>
  <si>
    <t xml:space="preserve">BOYACA                                                      </t>
  </si>
  <si>
    <t>notengo@contactarcolombia.org</t>
  </si>
  <si>
    <t>FINCA EL PEDREGAL</t>
  </si>
  <si>
    <t>LARA</t>
  </si>
  <si>
    <t>BLANCA CECILIA</t>
  </si>
  <si>
    <t>Entregado</t>
  </si>
  <si>
    <t>Zona Nariño Norte</t>
  </si>
  <si>
    <t>El Tambo</t>
  </si>
  <si>
    <t>JIMENEZ JIMENEZ ROCIO</t>
  </si>
  <si>
    <t>BOTINA</t>
  </si>
  <si>
    <t>PANCHALO</t>
  </si>
  <si>
    <t>ALVARO NELSON</t>
  </si>
  <si>
    <t xml:space="preserve">NARIÑO                                                      </t>
  </si>
  <si>
    <t>anapbotina@gmail.com</t>
  </si>
  <si>
    <t>BARRIO LUIS CARLOS GALAN POR ENTRADA ANTES DE BOMBA</t>
  </si>
  <si>
    <t>ANA DOLLY</t>
  </si>
  <si>
    <t>FECHA DE ENVIO</t>
  </si>
  <si>
    <t>NOTIFICACIÓN CELULAR</t>
  </si>
  <si>
    <t>NOTIFICACIÓN CORREO</t>
  </si>
  <si>
    <t>OBS NOTIFCACIÓN</t>
  </si>
  <si>
    <t>OBSERVACIÓN</t>
  </si>
  <si>
    <t>AVISO SINIESTRO BUSK</t>
  </si>
  <si>
    <t>POL IND NUEVA</t>
  </si>
  <si>
    <t>CUENTA CLIENTE</t>
  </si>
  <si>
    <t xml:space="preserve">REGION </t>
  </si>
  <si>
    <t>PLAZO RESTANTE EN MESES A  2024</t>
  </si>
  <si>
    <t>PLAZO RESTANTE A FIN DE VIGENCIA</t>
  </si>
  <si>
    <t>PLAZO INICIAL FINAL</t>
  </si>
  <si>
    <t>PLAZO ANTERIOR INCORRECTO</t>
  </si>
  <si>
    <t>CIA CONTINUIDADA52</t>
  </si>
  <si>
    <t>CIA CONTINUIDADA5</t>
  </si>
  <si>
    <t>FEC CONTINUIDADA5</t>
  </si>
  <si>
    <t>FEC NACIMIENTOA5</t>
  </si>
  <si>
    <t>TXT PARENTESCOA5</t>
  </si>
  <si>
    <t>TXT GENEROA5</t>
  </si>
  <si>
    <t>TXT APELLIDO2A5</t>
  </si>
  <si>
    <t>TXT APELLIDO1A5</t>
  </si>
  <si>
    <t>TXT NOMBREA5</t>
  </si>
  <si>
    <t>NUM DOCUMENTOA5</t>
  </si>
  <si>
    <t>NUMERO DE CREDITO2</t>
  </si>
  <si>
    <t>FECHA ANULACION</t>
  </si>
  <si>
    <t>PRIMA MENSUAL</t>
  </si>
  <si>
    <t>FECHAFINVIGENCIADERIESGO PROYECTADA A DICIEMBRE 2024</t>
  </si>
  <si>
    <t>FECHAFINVIGENCIADERIESGO REAL CORRECTA FINAL</t>
  </si>
  <si>
    <t>FECHAFINVIGENCIADERIESGO REAL INCORRECTA</t>
  </si>
  <si>
    <t>FECHA INICIO VIG REAL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</si>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</sst>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&quot;$&quot;\ 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E97600"/>
        <bgColor indexed="64"/>
      </patternFill>
    </fill>
    <fill>
      <patternFill patternType="solid">
        <fgColor rgb="FF2D8C8F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2" fillId="0" borderId="0" xfId="2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14" fontId="5" fillId="0" borderId="0" xfId="0" applyNumberFormat="1" applyFont="1"/>
    <xf numFmtId="164" fontId="5" fillId="0" borderId="0" xfId="1" applyNumberFormat="1" applyFont="1"/>
    <xf numFmtId="1" fontId="5" fillId="0" borderId="0" xfId="0" applyNumberFormat="1" applyFont="1"/>
    <xf numFmtId="2" fontId="5" fillId="0" borderId="0" xfId="0" applyNumberFormat="1" applyFont="1"/>
    <xf numFmtId="0" fontId="6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1" xfId="0" applyFont="1" applyBorder="1"/>
    <xf numFmtId="1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/>
    <xf numFmtId="14" fontId="7" fillId="4" borderId="1" xfId="0" applyNumberFormat="1" applyFont="1" applyFill="1" applyBorder="1"/>
    <xf numFmtId="165" fontId="7" fillId="0" borderId="1" xfId="4" applyNumberFormat="1" applyFont="1" applyBorder="1" applyAlignment="1"/>
    <xf numFmtId="14" fontId="7" fillId="0" borderId="1" xfId="0" applyNumberFormat="1" applyFont="1" applyBorder="1"/>
    <xf numFmtId="1" fontId="7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5" fontId="9" fillId="2" borderId="1" xfId="1" applyNumberFormat="1" applyFont="1" applyFill="1" applyBorder="1" applyAlignment="1">
      <alignment vertical="center" wrapText="1"/>
    </xf>
    <xf numFmtId="3" fontId="8" fillId="5" borderId="1" xfId="0" applyNumberFormat="1" applyFont="1" applyFill="1" applyBorder="1" applyAlignment="1">
      <alignment vertical="center" wrapText="1"/>
    </xf>
    <xf numFmtId="3" fontId="9" fillId="2" borderId="1" xfId="0" applyNumberFormat="1" applyFont="1" applyFill="1" applyBorder="1" applyAlignment="1">
      <alignment horizontal="center" vertical="center" wrapText="1"/>
    </xf>
  </cellXfs>
  <cellStyles count="5">
    <cellStyle name="Millares" xfId="1" builtinId="3"/>
    <cellStyle name="Millares 2" xfId="2" xr:uid="{B068EDA5-D213-4F5C-9B35-E9AD18550F81}"/>
    <cellStyle name="Moneda" xfId="4" builtinId="4"/>
    <cellStyle name="Normal" xfId="0" builtinId="0"/>
    <cellStyle name="Normal 2" xfId="3" xr:uid="{CCF71A43-D860-45C2-84F8-B43612E3AC99}"/>
  </cellStyles>
  <dxfs count="10">
    <dxf>
      <font>
        <color indexed="20"/>
      </font>
      <fill>
        <patternFill>
          <bgColor indexed="4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47"/>
        </patternFill>
      </fill>
    </dxf>
    <dxf>
      <fill>
        <patternFill>
          <bgColor indexed="1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749A-2AD9-4BA2-AD99-EF933444D75C}">
  <dimension ref="A1:AT5"/>
  <sheetViews>
    <sheetView showGridLines="0" zoomScaleNormal="100" workbookViewId="0">
      <selection activeCell="D1" sqref="D1"/>
    </sheetView>
  </sheetViews>
  <sheetFormatPr baseColWidth="10" defaultRowHeight="15" x14ac:dyDescent="0.25"/>
  <cols>
    <col min="2" max="2" width="20" bestFit="1" customWidth="1"/>
    <col min="3" max="3" width="14.5703125" bestFit="1" customWidth="1"/>
    <col min="20" max="20" width="18.5703125" customWidth="1"/>
  </cols>
  <sheetData>
    <row r="1" spans="1:46" s="13" customFormat="1" ht="40.5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0" t="s">
        <v>14</v>
      </c>
      <c r="P1" s="9" t="s">
        <v>15</v>
      </c>
      <c r="Q1" s="9" t="s">
        <v>16</v>
      </c>
      <c r="R1" s="5" t="s">
        <v>17</v>
      </c>
      <c r="S1" s="5" t="s">
        <v>18</v>
      </c>
      <c r="T1" s="11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37</v>
      </c>
      <c r="AO1" s="12" t="s">
        <v>38</v>
      </c>
      <c r="AP1" s="12" t="s">
        <v>39</v>
      </c>
      <c r="AQ1" s="12" t="s">
        <v>40</v>
      </c>
      <c r="AR1" s="12" t="s">
        <v>41</v>
      </c>
      <c r="AS1" s="12" t="s">
        <v>42</v>
      </c>
      <c r="AT1" s="12" t="s">
        <v>43</v>
      </c>
    </row>
    <row r="2" spans="1:46" s="13" customFormat="1" ht="13.5" x14ac:dyDescent="0.25">
      <c r="A2" s="13">
        <v>1</v>
      </c>
      <c r="B2" s="13">
        <v>10</v>
      </c>
      <c r="C2" s="13" t="s">
        <v>44</v>
      </c>
      <c r="D2" s="14">
        <v>45825</v>
      </c>
      <c r="E2" s="13" t="s">
        <v>45</v>
      </c>
      <c r="F2" s="13">
        <v>59311938</v>
      </c>
      <c r="G2" s="14" t="s">
        <v>46</v>
      </c>
      <c r="H2" s="13" t="s">
        <v>47</v>
      </c>
      <c r="I2" s="13" t="s">
        <v>48</v>
      </c>
      <c r="J2" s="13" t="s">
        <v>49</v>
      </c>
      <c r="K2" s="14">
        <v>30597</v>
      </c>
      <c r="L2" s="15">
        <v>5000000</v>
      </c>
      <c r="M2" s="15">
        <v>8600</v>
      </c>
      <c r="N2" s="13" t="s">
        <v>50</v>
      </c>
      <c r="O2" s="13">
        <v>123</v>
      </c>
      <c r="P2" s="13">
        <v>24</v>
      </c>
      <c r="Q2" s="14">
        <v>46555</v>
      </c>
      <c r="R2" s="13">
        <v>2107452</v>
      </c>
      <c r="S2" s="13" t="s">
        <v>51</v>
      </c>
      <c r="T2" s="16">
        <v>5024424900108</v>
      </c>
      <c r="U2" s="14">
        <v>45825</v>
      </c>
      <c r="V2" s="17" t="s">
        <v>52</v>
      </c>
      <c r="W2" s="13">
        <v>98326408</v>
      </c>
      <c r="X2" s="13" t="s">
        <v>53</v>
      </c>
      <c r="Y2" s="13" t="s">
        <v>54</v>
      </c>
      <c r="Z2" s="13" t="s">
        <v>55</v>
      </c>
      <c r="AA2" s="13">
        <v>15</v>
      </c>
      <c r="AB2" s="13">
        <v>100</v>
      </c>
      <c r="AQ2" s="13" t="s">
        <v>56</v>
      </c>
      <c r="AR2" s="13">
        <v>3159264662</v>
      </c>
      <c r="AS2" s="13" t="s">
        <v>57</v>
      </c>
      <c r="AT2" s="13">
        <v>52001</v>
      </c>
    </row>
    <row r="3" spans="1:46" x14ac:dyDescent="0.25">
      <c r="Q3" s="1"/>
    </row>
    <row r="5" spans="1:46" x14ac:dyDescent="0.25">
      <c r="N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612A-F1A3-4FFC-A9EB-8B6B936255E9}">
  <dimension ref="A1:DE2"/>
  <sheetViews>
    <sheetView showGridLines="0" zoomScale="85" zoomScaleNormal="85" workbookViewId="0">
      <selection activeCell="F1" sqref="F1"/>
    </sheetView>
  </sheetViews>
  <sheetFormatPr baseColWidth="10" defaultRowHeight="15" x14ac:dyDescent="0.25"/>
  <cols>
    <col min="3" max="3" width="16.140625" customWidth="1"/>
  </cols>
  <sheetData>
    <row r="1" spans="1:109" s="13" customFormat="1" ht="54" x14ac:dyDescent="0.25">
      <c r="A1" s="5" t="s">
        <v>58</v>
      </c>
      <c r="B1" s="5" t="s">
        <v>59</v>
      </c>
      <c r="C1" s="5" t="s">
        <v>60</v>
      </c>
      <c r="D1" s="6" t="s">
        <v>20</v>
      </c>
      <c r="E1" s="5" t="s">
        <v>16</v>
      </c>
      <c r="F1" s="5" t="s">
        <v>61</v>
      </c>
      <c r="G1" s="5" t="s">
        <v>61</v>
      </c>
      <c r="H1" s="5" t="s">
        <v>146</v>
      </c>
      <c r="I1" s="5" t="s">
        <v>147</v>
      </c>
      <c r="J1" s="5" t="s">
        <v>65</v>
      </c>
      <c r="K1" s="7" t="s">
        <v>66</v>
      </c>
      <c r="L1" s="8" t="s">
        <v>67</v>
      </c>
      <c r="M1" s="9" t="s">
        <v>68</v>
      </c>
      <c r="N1" s="10" t="s">
        <v>69</v>
      </c>
      <c r="O1" s="10" t="s">
        <v>70</v>
      </c>
      <c r="P1" s="9" t="s">
        <v>71</v>
      </c>
      <c r="Q1" s="9" t="s">
        <v>43</v>
      </c>
      <c r="R1" s="5" t="s">
        <v>72</v>
      </c>
      <c r="S1" s="5" t="s">
        <v>40</v>
      </c>
      <c r="T1" s="11" t="s">
        <v>73</v>
      </c>
      <c r="U1" s="12" t="s">
        <v>74</v>
      </c>
      <c r="V1" s="12" t="s">
        <v>75</v>
      </c>
      <c r="W1" s="12" t="s">
        <v>76</v>
      </c>
      <c r="X1" s="12" t="s">
        <v>77</v>
      </c>
      <c r="Y1" s="12" t="s">
        <v>78</v>
      </c>
      <c r="Z1" s="12" t="s">
        <v>79</v>
      </c>
      <c r="AA1" s="12" t="s">
        <v>80</v>
      </c>
      <c r="AB1" s="12" t="s">
        <v>81</v>
      </c>
      <c r="AC1" s="12" t="s">
        <v>82</v>
      </c>
      <c r="AD1" s="12" t="s">
        <v>83</v>
      </c>
      <c r="AE1" s="12" t="s">
        <v>84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13" t="s">
        <v>100</v>
      </c>
      <c r="AV1" s="13" t="s">
        <v>101</v>
      </c>
      <c r="AW1" s="13" t="s">
        <v>102</v>
      </c>
      <c r="AX1" s="13" t="s">
        <v>103</v>
      </c>
      <c r="AY1" s="13" t="s">
        <v>104</v>
      </c>
      <c r="AZ1" s="13" t="s">
        <v>105</v>
      </c>
      <c r="BA1" s="13" t="s">
        <v>106</v>
      </c>
      <c r="BB1" s="13" t="s">
        <v>107</v>
      </c>
      <c r="BC1" s="13" t="s">
        <v>108</v>
      </c>
      <c r="BD1" s="13" t="s">
        <v>109</v>
      </c>
      <c r="BE1" s="13" t="s">
        <v>110</v>
      </c>
      <c r="BF1" s="13" t="s">
        <v>111</v>
      </c>
      <c r="BG1" s="13" t="s">
        <v>112</v>
      </c>
      <c r="BH1" s="13" t="s">
        <v>113</v>
      </c>
      <c r="BI1" s="13" t="s">
        <v>114</v>
      </c>
      <c r="BJ1" s="13" t="s">
        <v>115</v>
      </c>
      <c r="BK1" s="13" t="s">
        <v>116</v>
      </c>
      <c r="BL1" s="13" t="s">
        <v>117</v>
      </c>
      <c r="BM1" s="13" t="s">
        <v>118</v>
      </c>
      <c r="BN1" s="13" t="s">
        <v>119</v>
      </c>
      <c r="BO1" s="13" t="s">
        <v>120</v>
      </c>
      <c r="BP1" s="13" t="s">
        <v>121</v>
      </c>
      <c r="BQ1" s="13" t="s">
        <v>122</v>
      </c>
      <c r="BR1" s="13" t="s">
        <v>123</v>
      </c>
      <c r="BS1" s="13" t="s">
        <v>124</v>
      </c>
      <c r="BT1" s="13" t="s">
        <v>21</v>
      </c>
      <c r="BU1" s="13" t="s">
        <v>22</v>
      </c>
      <c r="BV1" s="13" t="s">
        <v>23</v>
      </c>
      <c r="BW1" s="13" t="s">
        <v>24</v>
      </c>
      <c r="BX1" s="13" t="s">
        <v>25</v>
      </c>
      <c r="BY1" s="13" t="s">
        <v>125</v>
      </c>
      <c r="BZ1" s="13" t="s">
        <v>27</v>
      </c>
      <c r="CA1" s="13" t="s">
        <v>23</v>
      </c>
      <c r="CB1" s="13" t="s">
        <v>24</v>
      </c>
      <c r="CC1" s="13" t="s">
        <v>25</v>
      </c>
      <c r="CD1" s="13" t="s">
        <v>125</v>
      </c>
      <c r="CE1" s="13" t="s">
        <v>26</v>
      </c>
      <c r="CF1" s="13" t="s">
        <v>27</v>
      </c>
      <c r="CG1" s="13" t="s">
        <v>28</v>
      </c>
      <c r="CH1" s="13" t="s">
        <v>29</v>
      </c>
      <c r="CI1" s="13" t="s">
        <v>30</v>
      </c>
      <c r="CJ1" s="13" t="s">
        <v>126</v>
      </c>
      <c r="CK1" s="13" t="s">
        <v>31</v>
      </c>
      <c r="CL1" s="13" t="s">
        <v>127</v>
      </c>
      <c r="CM1" s="13" t="s">
        <v>32</v>
      </c>
      <c r="CN1" s="13" t="s">
        <v>33</v>
      </c>
      <c r="CO1" s="13" t="s">
        <v>34</v>
      </c>
      <c r="CP1" s="13" t="s">
        <v>35</v>
      </c>
      <c r="CQ1" s="13" t="s">
        <v>36</v>
      </c>
      <c r="CR1" s="13" t="s">
        <v>128</v>
      </c>
      <c r="CS1" s="13" t="s">
        <v>129</v>
      </c>
      <c r="CT1" s="13" t="s">
        <v>130</v>
      </c>
      <c r="CU1" s="13" t="s">
        <v>38</v>
      </c>
      <c r="CV1" s="13" t="s">
        <v>39</v>
      </c>
      <c r="CW1" s="13" t="s">
        <v>131</v>
      </c>
      <c r="CX1" s="13" t="s">
        <v>132</v>
      </c>
      <c r="CY1" s="13" t="s">
        <v>133</v>
      </c>
      <c r="CZ1" s="13" t="s">
        <v>134</v>
      </c>
      <c r="DA1" s="13" t="s">
        <v>2</v>
      </c>
      <c r="DB1" s="13" t="s">
        <v>135</v>
      </c>
      <c r="DC1" s="13" t="s">
        <v>136</v>
      </c>
      <c r="DD1" s="13" t="s">
        <v>137</v>
      </c>
      <c r="DE1" s="13" t="s">
        <v>138</v>
      </c>
    </row>
    <row r="2" spans="1:109" x14ac:dyDescent="0.25">
      <c r="A2">
        <v>1</v>
      </c>
      <c r="B2" t="s">
        <v>148</v>
      </c>
      <c r="C2" s="3">
        <v>5024524900114</v>
      </c>
      <c r="D2" s="1">
        <v>45833</v>
      </c>
      <c r="E2" s="1">
        <v>46929</v>
      </c>
      <c r="F2" t="s">
        <v>50</v>
      </c>
      <c r="G2">
        <v>125</v>
      </c>
      <c r="H2" t="s">
        <v>45</v>
      </c>
      <c r="I2">
        <v>26460797</v>
      </c>
      <c r="J2" s="1" t="s">
        <v>149</v>
      </c>
      <c r="K2" t="s">
        <v>150</v>
      </c>
      <c r="L2" t="s">
        <v>151</v>
      </c>
      <c r="M2" t="s">
        <v>49</v>
      </c>
      <c r="N2" s="1">
        <v>30713</v>
      </c>
      <c r="O2">
        <v>3132395885</v>
      </c>
      <c r="P2" t="s">
        <v>152</v>
      </c>
      <c r="Q2">
        <v>41132</v>
      </c>
      <c r="R2" s="2">
        <v>8500</v>
      </c>
      <c r="S2" t="s">
        <v>153</v>
      </c>
      <c r="T2">
        <v>2113525</v>
      </c>
      <c r="U2" s="2">
        <v>7000000</v>
      </c>
      <c r="W2">
        <v>0</v>
      </c>
      <c r="X2" t="s">
        <v>154</v>
      </c>
      <c r="BT2" t="s">
        <v>52</v>
      </c>
      <c r="BU2">
        <v>83222133</v>
      </c>
      <c r="BV2" t="s">
        <v>155</v>
      </c>
      <c r="BW2" t="s">
        <v>156</v>
      </c>
      <c r="BX2" t="s">
        <v>157</v>
      </c>
      <c r="BY2">
        <v>15</v>
      </c>
      <c r="BZ2">
        <v>100</v>
      </c>
      <c r="CW2">
        <v>36</v>
      </c>
      <c r="CZ2" t="s">
        <v>158</v>
      </c>
      <c r="DA2" t="s">
        <v>159</v>
      </c>
      <c r="DB2" t="s">
        <v>160</v>
      </c>
      <c r="DC2" t="s">
        <v>161</v>
      </c>
      <c r="DD2">
        <v>59855</v>
      </c>
      <c r="DE2">
        <v>4</v>
      </c>
    </row>
  </sheetData>
  <conditionalFormatting sqref="T1:T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3F51-AE4D-404F-B863-DBC9E49F47C6}">
  <dimension ref="A1:DE2"/>
  <sheetViews>
    <sheetView showGridLines="0" topLeftCell="C1" zoomScale="85" zoomScaleNormal="85" workbookViewId="0">
      <selection activeCell="F14" sqref="F14"/>
    </sheetView>
  </sheetViews>
  <sheetFormatPr baseColWidth="10" defaultRowHeight="15" x14ac:dyDescent="0.25"/>
  <cols>
    <col min="3" max="3" width="15.140625" customWidth="1"/>
  </cols>
  <sheetData>
    <row r="1" spans="1:109" s="13" customFormat="1" ht="54" x14ac:dyDescent="0.25">
      <c r="A1" s="5" t="s">
        <v>58</v>
      </c>
      <c r="B1" s="5" t="s">
        <v>59</v>
      </c>
      <c r="C1" s="5" t="s">
        <v>60</v>
      </c>
      <c r="D1" s="6" t="s">
        <v>20</v>
      </c>
      <c r="E1" s="5" t="s">
        <v>16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7" t="s">
        <v>66</v>
      </c>
      <c r="L1" s="8" t="s">
        <v>67</v>
      </c>
      <c r="M1" s="9" t="s">
        <v>68</v>
      </c>
      <c r="N1" s="10" t="s">
        <v>69</v>
      </c>
      <c r="O1" s="10" t="s">
        <v>70</v>
      </c>
      <c r="P1" s="9" t="s">
        <v>71</v>
      </c>
      <c r="Q1" s="9" t="s">
        <v>43</v>
      </c>
      <c r="R1" s="5" t="s">
        <v>72</v>
      </c>
      <c r="S1" s="5" t="s">
        <v>40</v>
      </c>
      <c r="T1" s="11" t="s">
        <v>73</v>
      </c>
      <c r="U1" s="12" t="s">
        <v>74</v>
      </c>
      <c r="V1" s="12" t="s">
        <v>75</v>
      </c>
      <c r="W1" s="12" t="s">
        <v>76</v>
      </c>
      <c r="X1" s="12" t="s">
        <v>77</v>
      </c>
      <c r="Y1" s="12" t="s">
        <v>78</v>
      </c>
      <c r="Z1" s="12" t="s">
        <v>79</v>
      </c>
      <c r="AA1" s="12" t="s">
        <v>80</v>
      </c>
      <c r="AB1" s="12" t="s">
        <v>81</v>
      </c>
      <c r="AC1" s="12" t="s">
        <v>82</v>
      </c>
      <c r="AD1" s="12" t="s">
        <v>83</v>
      </c>
      <c r="AE1" s="12" t="s">
        <v>84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13" t="s">
        <v>100</v>
      </c>
      <c r="AV1" s="13" t="s">
        <v>101</v>
      </c>
      <c r="AW1" s="13" t="s">
        <v>102</v>
      </c>
      <c r="AX1" s="13" t="s">
        <v>103</v>
      </c>
      <c r="AY1" s="13" t="s">
        <v>104</v>
      </c>
      <c r="AZ1" s="13" t="s">
        <v>105</v>
      </c>
      <c r="BA1" s="13" t="s">
        <v>106</v>
      </c>
      <c r="BB1" s="13" t="s">
        <v>107</v>
      </c>
      <c r="BC1" s="13" t="s">
        <v>108</v>
      </c>
      <c r="BD1" s="13" t="s">
        <v>109</v>
      </c>
      <c r="BE1" s="13" t="s">
        <v>110</v>
      </c>
      <c r="BF1" s="13" t="s">
        <v>111</v>
      </c>
      <c r="BG1" s="13" t="s">
        <v>112</v>
      </c>
      <c r="BH1" s="13" t="s">
        <v>113</v>
      </c>
      <c r="BI1" s="13" t="s">
        <v>114</v>
      </c>
      <c r="BJ1" s="13" t="s">
        <v>115</v>
      </c>
      <c r="BK1" s="13" t="s">
        <v>116</v>
      </c>
      <c r="BL1" s="13" t="s">
        <v>117</v>
      </c>
      <c r="BM1" s="13" t="s">
        <v>118</v>
      </c>
      <c r="BN1" s="13" t="s">
        <v>119</v>
      </c>
      <c r="BO1" s="13" t="s">
        <v>120</v>
      </c>
      <c r="BP1" s="13" t="s">
        <v>121</v>
      </c>
      <c r="BQ1" s="13" t="s">
        <v>122</v>
      </c>
      <c r="BR1" s="13" t="s">
        <v>123</v>
      </c>
      <c r="BS1" s="13" t="s">
        <v>124</v>
      </c>
      <c r="BT1" s="13" t="s">
        <v>21</v>
      </c>
      <c r="BU1" s="13" t="s">
        <v>22</v>
      </c>
      <c r="BV1" s="13" t="s">
        <v>23</v>
      </c>
      <c r="BW1" s="13" t="s">
        <v>24</v>
      </c>
      <c r="BX1" s="13" t="s">
        <v>25</v>
      </c>
      <c r="BY1" s="13" t="s">
        <v>125</v>
      </c>
      <c r="BZ1" s="13" t="s">
        <v>27</v>
      </c>
      <c r="CA1" s="13" t="s">
        <v>23</v>
      </c>
      <c r="CB1" s="13" t="s">
        <v>24</v>
      </c>
      <c r="CC1" s="13" t="s">
        <v>25</v>
      </c>
      <c r="CD1" s="13" t="s">
        <v>125</v>
      </c>
      <c r="CE1" s="13" t="s">
        <v>26</v>
      </c>
      <c r="CF1" s="13" t="s">
        <v>27</v>
      </c>
      <c r="CG1" s="13" t="s">
        <v>28</v>
      </c>
      <c r="CH1" s="13" t="s">
        <v>29</v>
      </c>
      <c r="CI1" s="13" t="s">
        <v>30</v>
      </c>
      <c r="CJ1" s="13" t="s">
        <v>126</v>
      </c>
      <c r="CK1" s="13" t="s">
        <v>31</v>
      </c>
      <c r="CL1" s="13" t="s">
        <v>127</v>
      </c>
      <c r="CM1" s="13" t="s">
        <v>32</v>
      </c>
      <c r="CN1" s="13" t="s">
        <v>33</v>
      </c>
      <c r="CO1" s="13" t="s">
        <v>34</v>
      </c>
      <c r="CP1" s="13" t="s">
        <v>35</v>
      </c>
      <c r="CQ1" s="13" t="s">
        <v>36</v>
      </c>
      <c r="CR1" s="13" t="s">
        <v>128</v>
      </c>
      <c r="CS1" s="13" t="s">
        <v>129</v>
      </c>
      <c r="CT1" s="13" t="s">
        <v>130</v>
      </c>
      <c r="CU1" s="13" t="s">
        <v>38</v>
      </c>
      <c r="CV1" s="13" t="s">
        <v>39</v>
      </c>
      <c r="CW1" s="13" t="s">
        <v>131</v>
      </c>
      <c r="CX1" s="13" t="s">
        <v>132</v>
      </c>
      <c r="CY1" s="13" t="s">
        <v>133</v>
      </c>
      <c r="CZ1" s="13" t="s">
        <v>134</v>
      </c>
      <c r="DA1" s="13" t="s">
        <v>2</v>
      </c>
      <c r="DB1" s="13" t="s">
        <v>135</v>
      </c>
      <c r="DC1" s="13" t="s">
        <v>136</v>
      </c>
      <c r="DD1" s="13" t="s">
        <v>137</v>
      </c>
      <c r="DE1" s="13" t="s">
        <v>138</v>
      </c>
    </row>
    <row r="2" spans="1:109" x14ac:dyDescent="0.25">
      <c r="A2">
        <v>1</v>
      </c>
      <c r="B2" t="s">
        <v>139</v>
      </c>
      <c r="C2" s="4">
        <v>5024524900110</v>
      </c>
      <c r="D2" s="1">
        <v>45825</v>
      </c>
      <c r="E2" s="1">
        <v>46555</v>
      </c>
      <c r="F2" t="s">
        <v>50</v>
      </c>
      <c r="G2">
        <v>138</v>
      </c>
      <c r="H2" t="s">
        <v>45</v>
      </c>
      <c r="I2">
        <v>59311938</v>
      </c>
      <c r="J2" t="s">
        <v>48</v>
      </c>
      <c r="K2" t="s">
        <v>46</v>
      </c>
      <c r="L2" t="s">
        <v>47</v>
      </c>
      <c r="M2" t="s">
        <v>49</v>
      </c>
      <c r="N2" s="1">
        <v>30597</v>
      </c>
      <c r="O2">
        <v>3159264662</v>
      </c>
      <c r="P2" t="s">
        <v>57</v>
      </c>
      <c r="Q2">
        <v>52001</v>
      </c>
      <c r="R2" s="2">
        <v>7800</v>
      </c>
      <c r="S2" t="s">
        <v>56</v>
      </c>
      <c r="T2">
        <v>2107452</v>
      </c>
      <c r="U2" s="2">
        <v>5000000</v>
      </c>
      <c r="W2">
        <v>0</v>
      </c>
      <c r="X2" t="s">
        <v>140</v>
      </c>
      <c r="BT2" t="s">
        <v>52</v>
      </c>
      <c r="BU2">
        <v>1081052722</v>
      </c>
      <c r="BV2" t="s">
        <v>141</v>
      </c>
      <c r="BW2" t="s">
        <v>142</v>
      </c>
      <c r="BX2" t="s">
        <v>143</v>
      </c>
      <c r="BY2">
        <v>25</v>
      </c>
      <c r="BZ2">
        <v>100</v>
      </c>
      <c r="CW2">
        <v>24</v>
      </c>
      <c r="CZ2" t="s">
        <v>51</v>
      </c>
      <c r="DA2" t="s">
        <v>44</v>
      </c>
      <c r="DB2" t="s">
        <v>144</v>
      </c>
      <c r="DC2" t="s">
        <v>145</v>
      </c>
      <c r="DD2">
        <v>67509</v>
      </c>
      <c r="DE2">
        <v>10</v>
      </c>
    </row>
  </sheetData>
  <autoFilter ref="A1:DE2" xr:uid="{6B763F51-AE4D-404F-B863-DBC9E49F47C6}"/>
  <conditionalFormatting sqref="T1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BB5A-6C8E-479A-9674-B0DE81E6DD6C}">
  <dimension ref="A1:DR3"/>
  <sheetViews>
    <sheetView tabSelected="1" workbookViewId="0">
      <selection activeCell="F1" sqref="F1"/>
    </sheetView>
  </sheetViews>
  <sheetFormatPr baseColWidth="10" defaultRowHeight="15" x14ac:dyDescent="0.25"/>
  <cols>
    <col min="4" max="4" width="15" customWidth="1"/>
  </cols>
  <sheetData>
    <row r="1" spans="1:122" s="18" customFormat="1" ht="76.5" x14ac:dyDescent="0.2">
      <c r="A1" s="33" t="s">
        <v>73</v>
      </c>
      <c r="B1" s="38" t="s">
        <v>219</v>
      </c>
      <c r="C1" s="38" t="s">
        <v>59</v>
      </c>
      <c r="D1" s="39" t="s">
        <v>60</v>
      </c>
      <c r="E1" s="34" t="s">
        <v>218</v>
      </c>
      <c r="F1" s="38" t="s">
        <v>20</v>
      </c>
      <c r="G1" s="34" t="s">
        <v>217</v>
      </c>
      <c r="H1" s="35" t="s">
        <v>216</v>
      </c>
      <c r="I1" s="38" t="s">
        <v>215</v>
      </c>
      <c r="J1" s="38" t="s">
        <v>61</v>
      </c>
      <c r="K1" s="38" t="s">
        <v>14</v>
      </c>
      <c r="L1" s="38" t="s">
        <v>146</v>
      </c>
      <c r="M1" s="38" t="s">
        <v>147</v>
      </c>
      <c r="N1" s="33" t="s">
        <v>65</v>
      </c>
      <c r="O1" s="33" t="s">
        <v>66</v>
      </c>
      <c r="P1" s="33" t="s">
        <v>67</v>
      </c>
      <c r="Q1" s="33" t="s">
        <v>68</v>
      </c>
      <c r="R1" s="33" t="s">
        <v>69</v>
      </c>
      <c r="S1" s="33" t="s">
        <v>70</v>
      </c>
      <c r="T1" s="38" t="s">
        <v>71</v>
      </c>
      <c r="U1" s="38" t="s">
        <v>43</v>
      </c>
      <c r="V1" s="37" t="s">
        <v>214</v>
      </c>
      <c r="W1" s="36" t="s">
        <v>213</v>
      </c>
      <c r="X1" s="34" t="s">
        <v>40</v>
      </c>
      <c r="Y1" s="33" t="s">
        <v>212</v>
      </c>
      <c r="Z1" s="33" t="s">
        <v>74</v>
      </c>
      <c r="AA1" s="33" t="s">
        <v>75</v>
      </c>
      <c r="AB1" s="33" t="s">
        <v>76</v>
      </c>
      <c r="AC1" s="33" t="s">
        <v>77</v>
      </c>
      <c r="AD1" s="33" t="s">
        <v>78</v>
      </c>
      <c r="AE1" s="33" t="s">
        <v>79</v>
      </c>
      <c r="AF1" s="33" t="s">
        <v>80</v>
      </c>
      <c r="AG1" s="33" t="s">
        <v>81</v>
      </c>
      <c r="AH1" s="33" t="s">
        <v>82</v>
      </c>
      <c r="AI1" s="33" t="s">
        <v>83</v>
      </c>
      <c r="AJ1" s="33" t="s">
        <v>84</v>
      </c>
      <c r="AK1" s="33" t="s">
        <v>85</v>
      </c>
      <c r="AL1" s="33" t="s">
        <v>87</v>
      </c>
      <c r="AM1" s="33" t="s">
        <v>88</v>
      </c>
      <c r="AN1" s="33" t="s">
        <v>89</v>
      </c>
      <c r="AO1" s="33" t="s">
        <v>90</v>
      </c>
      <c r="AP1" s="33" t="s">
        <v>91</v>
      </c>
      <c r="AQ1" s="33" t="s">
        <v>92</v>
      </c>
      <c r="AR1" s="33" t="s">
        <v>93</v>
      </c>
      <c r="AS1" s="33" t="s">
        <v>94</v>
      </c>
      <c r="AT1" s="33" t="s">
        <v>95</v>
      </c>
      <c r="AU1" s="33" t="s">
        <v>96</v>
      </c>
      <c r="AV1" s="33" t="s">
        <v>98</v>
      </c>
      <c r="AW1" s="33" t="s">
        <v>99</v>
      </c>
      <c r="AX1" s="33" t="s">
        <v>100</v>
      </c>
      <c r="AY1" s="33" t="s">
        <v>101</v>
      </c>
      <c r="AZ1" s="33" t="s">
        <v>102</v>
      </c>
      <c r="BA1" s="33" t="s">
        <v>103</v>
      </c>
      <c r="BB1" s="33" t="s">
        <v>104</v>
      </c>
      <c r="BC1" s="33" t="s">
        <v>105</v>
      </c>
      <c r="BD1" s="33" t="s">
        <v>106</v>
      </c>
      <c r="BE1" s="33" t="s">
        <v>107</v>
      </c>
      <c r="BF1" s="33" t="s">
        <v>109</v>
      </c>
      <c r="BG1" s="33" t="s">
        <v>110</v>
      </c>
      <c r="BH1" s="33" t="s">
        <v>111</v>
      </c>
      <c r="BI1" s="33" t="s">
        <v>112</v>
      </c>
      <c r="BJ1" s="33" t="s">
        <v>113</v>
      </c>
      <c r="BK1" s="33" t="s">
        <v>114</v>
      </c>
      <c r="BL1" s="33" t="s">
        <v>115</v>
      </c>
      <c r="BM1" s="33" t="s">
        <v>116</v>
      </c>
      <c r="BN1" s="33" t="s">
        <v>117</v>
      </c>
      <c r="BO1" s="33" t="s">
        <v>118</v>
      </c>
      <c r="BP1" s="33" t="s">
        <v>120</v>
      </c>
      <c r="BQ1" s="33" t="s">
        <v>121</v>
      </c>
      <c r="BR1" s="33" t="s">
        <v>122</v>
      </c>
      <c r="BS1" s="33" t="s">
        <v>123</v>
      </c>
      <c r="BT1" s="33" t="s">
        <v>124</v>
      </c>
      <c r="BU1" s="33" t="s">
        <v>211</v>
      </c>
      <c r="BV1" s="33" t="s">
        <v>210</v>
      </c>
      <c r="BW1" s="33" t="s">
        <v>209</v>
      </c>
      <c r="BX1" s="33" t="s">
        <v>208</v>
      </c>
      <c r="BY1" s="33" t="s">
        <v>207</v>
      </c>
      <c r="BZ1" s="33" t="s">
        <v>206</v>
      </c>
      <c r="CA1" s="33" t="s">
        <v>205</v>
      </c>
      <c r="CB1" s="33" t="s">
        <v>204</v>
      </c>
      <c r="CC1" s="33" t="s">
        <v>203</v>
      </c>
      <c r="CD1" s="34" t="s">
        <v>21</v>
      </c>
      <c r="CE1" s="34" t="s">
        <v>22</v>
      </c>
      <c r="CF1" s="34" t="s">
        <v>23</v>
      </c>
      <c r="CG1" s="34" t="s">
        <v>24</v>
      </c>
      <c r="CH1" s="34" t="s">
        <v>25</v>
      </c>
      <c r="CI1" s="34" t="s">
        <v>26</v>
      </c>
      <c r="CJ1" s="34" t="s">
        <v>27</v>
      </c>
      <c r="CK1" s="33" t="s">
        <v>202</v>
      </c>
      <c r="CL1" s="33" t="s">
        <v>28</v>
      </c>
      <c r="CM1" s="33" t="s">
        <v>29</v>
      </c>
      <c r="CN1" s="33" t="s">
        <v>30</v>
      </c>
      <c r="CO1" s="33" t="s">
        <v>126</v>
      </c>
      <c r="CP1" s="33" t="s">
        <v>31</v>
      </c>
      <c r="CQ1" s="33" t="s">
        <v>32</v>
      </c>
      <c r="CR1" s="33" t="s">
        <v>33</v>
      </c>
      <c r="CS1" s="33" t="s">
        <v>34</v>
      </c>
      <c r="CT1" s="33" t="s">
        <v>35</v>
      </c>
      <c r="CU1" s="33" t="s">
        <v>36</v>
      </c>
      <c r="CV1" s="33" t="s">
        <v>128</v>
      </c>
      <c r="CW1" s="33" t="s">
        <v>129</v>
      </c>
      <c r="CX1" s="33" t="s">
        <v>38</v>
      </c>
      <c r="CY1" s="33" t="s">
        <v>39</v>
      </c>
      <c r="CZ1" s="34" t="s">
        <v>201</v>
      </c>
      <c r="DA1" s="35" t="s">
        <v>200</v>
      </c>
      <c r="DB1" s="34" t="s">
        <v>199</v>
      </c>
      <c r="DC1" s="34" t="s">
        <v>198</v>
      </c>
      <c r="DD1" s="33" t="s">
        <v>132</v>
      </c>
      <c r="DE1" s="33" t="s">
        <v>133</v>
      </c>
      <c r="DF1" s="33" t="s">
        <v>134</v>
      </c>
      <c r="DG1" s="33" t="s">
        <v>2</v>
      </c>
      <c r="DH1" s="33" t="s">
        <v>135</v>
      </c>
      <c r="DI1" s="33" t="s">
        <v>197</v>
      </c>
      <c r="DJ1" s="33" t="s">
        <v>196</v>
      </c>
      <c r="DK1" s="33" t="s">
        <v>138</v>
      </c>
      <c r="DL1" s="29" t="s">
        <v>195</v>
      </c>
      <c r="DM1" s="32" t="s">
        <v>194</v>
      </c>
      <c r="DN1" s="31" t="s">
        <v>193</v>
      </c>
      <c r="DO1" s="30" t="s">
        <v>192</v>
      </c>
      <c r="DP1" s="29" t="s">
        <v>191</v>
      </c>
      <c r="DQ1" s="29" t="s">
        <v>190</v>
      </c>
      <c r="DR1" s="29" t="s">
        <v>189</v>
      </c>
    </row>
    <row r="2" spans="1:122" s="18" customFormat="1" ht="12.75" x14ac:dyDescent="0.2">
      <c r="A2" s="22">
        <v>1499017</v>
      </c>
      <c r="B2" s="22">
        <v>40</v>
      </c>
      <c r="C2" s="22" t="s">
        <v>139</v>
      </c>
      <c r="D2" s="28">
        <v>5024524900110</v>
      </c>
      <c r="E2" s="27">
        <v>45050</v>
      </c>
      <c r="F2" s="27">
        <v>45477</v>
      </c>
      <c r="G2" s="27">
        <v>46146</v>
      </c>
      <c r="H2" s="27">
        <v>46146</v>
      </c>
      <c r="I2" s="27">
        <v>45630</v>
      </c>
      <c r="J2" s="22">
        <v>1</v>
      </c>
      <c r="K2" s="22">
        <v>138</v>
      </c>
      <c r="L2" s="22">
        <v>1</v>
      </c>
      <c r="M2" s="22">
        <v>27199897</v>
      </c>
      <c r="N2" s="22" t="s">
        <v>188</v>
      </c>
      <c r="O2" s="22" t="s">
        <v>183</v>
      </c>
      <c r="P2" s="22" t="s">
        <v>182</v>
      </c>
      <c r="Q2" s="22">
        <v>0</v>
      </c>
      <c r="R2" s="27">
        <v>27147</v>
      </c>
      <c r="S2" s="22">
        <v>3114005568</v>
      </c>
      <c r="T2" s="22" t="s">
        <v>187</v>
      </c>
      <c r="U2" s="22">
        <v>52260</v>
      </c>
      <c r="V2" s="26">
        <v>7800</v>
      </c>
      <c r="W2" s="25"/>
      <c r="X2" s="22" t="s">
        <v>186</v>
      </c>
      <c r="Y2" s="22">
        <v>1499017</v>
      </c>
      <c r="Z2" s="22">
        <v>5000000</v>
      </c>
      <c r="AA2" s="22">
        <v>0</v>
      </c>
      <c r="AB2" s="22">
        <v>0</v>
      </c>
      <c r="AC2" s="22" t="s">
        <v>185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>
        <v>1</v>
      </c>
      <c r="CE2" s="22">
        <v>87303287</v>
      </c>
      <c r="CF2" s="22" t="s">
        <v>184</v>
      </c>
      <c r="CG2" s="22" t="s">
        <v>183</v>
      </c>
      <c r="CH2" s="22" t="s">
        <v>182</v>
      </c>
      <c r="CI2" s="22">
        <v>30</v>
      </c>
      <c r="CJ2" s="22">
        <v>100</v>
      </c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4">
        <v>36</v>
      </c>
      <c r="DA2" s="24">
        <v>36</v>
      </c>
      <c r="DB2" s="22">
        <v>22</v>
      </c>
      <c r="DC2" s="22">
        <v>5</v>
      </c>
      <c r="DD2" s="22"/>
      <c r="DE2" s="22"/>
      <c r="DF2" s="22" t="s">
        <v>181</v>
      </c>
      <c r="DG2" s="22" t="s">
        <v>180</v>
      </c>
      <c r="DH2" s="22" t="s">
        <v>179</v>
      </c>
      <c r="DI2" s="22" t="s">
        <v>145</v>
      </c>
      <c r="DJ2" s="22">
        <v>137446</v>
      </c>
      <c r="DK2" s="22">
        <v>9</v>
      </c>
      <c r="DL2" s="23">
        <v>5024526024603</v>
      </c>
      <c r="DM2" s="22"/>
      <c r="DN2" s="21" t="s">
        <v>165</v>
      </c>
      <c r="DO2" s="20" t="s">
        <v>164</v>
      </c>
      <c r="DP2" s="20" t="s">
        <v>178</v>
      </c>
      <c r="DQ2" s="20" t="s">
        <v>162</v>
      </c>
      <c r="DR2" s="19">
        <v>45891</v>
      </c>
    </row>
    <row r="3" spans="1:122" s="18" customFormat="1" ht="12.75" x14ac:dyDescent="0.2">
      <c r="A3" s="22">
        <v>1499135</v>
      </c>
      <c r="B3" s="22">
        <v>52</v>
      </c>
      <c r="C3" s="22" t="s">
        <v>139</v>
      </c>
      <c r="D3" s="28">
        <v>5024524900110</v>
      </c>
      <c r="E3" s="27">
        <v>45050</v>
      </c>
      <c r="F3" s="27">
        <v>45477</v>
      </c>
      <c r="G3" s="27">
        <v>46269</v>
      </c>
      <c r="H3" s="27">
        <v>46269</v>
      </c>
      <c r="I3" s="27">
        <v>45630</v>
      </c>
      <c r="J3" s="22">
        <v>2</v>
      </c>
      <c r="K3" s="22">
        <v>139</v>
      </c>
      <c r="L3" s="22">
        <v>1</v>
      </c>
      <c r="M3" s="22">
        <v>24018530</v>
      </c>
      <c r="N3" s="22" t="s">
        <v>177</v>
      </c>
      <c r="O3" s="22" t="s">
        <v>176</v>
      </c>
      <c r="P3" s="22" t="s">
        <v>171</v>
      </c>
      <c r="Q3" s="22">
        <v>0</v>
      </c>
      <c r="R3" s="27">
        <v>28081</v>
      </c>
      <c r="S3" s="22">
        <v>3204256231</v>
      </c>
      <c r="T3" s="22" t="s">
        <v>175</v>
      </c>
      <c r="U3" s="22">
        <v>15001</v>
      </c>
      <c r="V3" s="26">
        <v>10600</v>
      </c>
      <c r="W3" s="25"/>
      <c r="X3" s="22" t="s">
        <v>174</v>
      </c>
      <c r="Y3" s="22">
        <v>1499135</v>
      </c>
      <c r="Z3" s="22">
        <v>8000000</v>
      </c>
      <c r="AA3" s="22">
        <v>0</v>
      </c>
      <c r="AB3" s="22">
        <v>0</v>
      </c>
      <c r="AC3" s="22" t="s">
        <v>173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>
        <v>1</v>
      </c>
      <c r="CE3" s="22">
        <v>74357209</v>
      </c>
      <c r="CF3" s="22" t="s">
        <v>172</v>
      </c>
      <c r="CG3" s="22" t="s">
        <v>171</v>
      </c>
      <c r="CH3" s="22" t="s">
        <v>170</v>
      </c>
      <c r="CI3" s="22">
        <v>15</v>
      </c>
      <c r="CJ3" s="22">
        <v>100</v>
      </c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>
        <v>40</v>
      </c>
      <c r="DA3" s="24">
        <v>40</v>
      </c>
      <c r="DB3" s="22">
        <v>26</v>
      </c>
      <c r="DC3" s="22">
        <v>5</v>
      </c>
      <c r="DD3" s="22"/>
      <c r="DE3" s="22"/>
      <c r="DF3" s="22" t="s">
        <v>169</v>
      </c>
      <c r="DG3" s="22" t="s">
        <v>168</v>
      </c>
      <c r="DH3" s="22" t="s">
        <v>167</v>
      </c>
      <c r="DI3" s="22" t="s">
        <v>166</v>
      </c>
      <c r="DJ3" s="22">
        <v>265279</v>
      </c>
      <c r="DK3" s="22">
        <v>64</v>
      </c>
      <c r="DL3" s="23">
        <v>5024526082455</v>
      </c>
      <c r="DM3" s="22"/>
      <c r="DN3" s="21" t="s">
        <v>165</v>
      </c>
      <c r="DO3" s="20" t="s">
        <v>164</v>
      </c>
      <c r="DP3" s="20" t="s">
        <v>163</v>
      </c>
      <c r="DQ3" s="20" t="s">
        <v>162</v>
      </c>
      <c r="DR3" s="19">
        <v>45890</v>
      </c>
    </row>
  </sheetData>
  <conditionalFormatting sqref="A1:A3">
    <cfRule type="expression" dxfId="7" priority="7" stopIfTrue="1">
      <formula>#VALUE!</formula>
    </cfRule>
    <cfRule type="expression" dxfId="6" priority="8" stopIfTrue="1">
      <formula>AND(COUNTIF($A$13:$A$12041, A1)+COUNTIF($A$1:$A$11, A1)&gt;1,NOT(ISBLANK(A1)))</formula>
    </cfRule>
  </conditionalFormatting>
  <conditionalFormatting sqref="A2:A3">
    <cfRule type="expression" dxfId="5" priority="5" stopIfTrue="1">
      <formula>AND(COUNTIF($A$13:$A$7747, A2)+COUNTIF($A$2:$A$11, A2)&gt;1,NOT(ISBLANK(A2)))</formula>
    </cfRule>
    <cfRule type="expression" dxfId="4" priority="6" stopIfTrue="1">
      <formula>AND(COUNTIF($A$13:$A$3602, A2)+COUNTIF($A$2:$A$11, A2)&gt;1,NOT(ISBLANK(A2)))</formula>
    </cfRule>
  </conditionalFormatting>
  <conditionalFormatting sqref="M1:M3">
    <cfRule type="duplicateValues" dxfId="3" priority="4" stopIfTrue="1"/>
  </conditionalFormatting>
  <conditionalFormatting sqref="Y2:Y3">
    <cfRule type="duplicateValues" dxfId="2" priority="2"/>
    <cfRule type="duplicateValues" dxfId="1" priority="3"/>
  </conditionalFormatting>
  <conditionalFormatting sqref="DM1:DO1">
    <cfRule type="expression" dxfId="0" priority="1" stopIfTrue="1">
      <formula>AND(COUNTIF($DL$2:$DL$12041, DM1)+COUNTIF($DL$1:$DN$1, DM1)&gt;1,NOT(ISBLANK(DM1)))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6" ma:contentTypeDescription="Crear nuevo documento." ma:contentTypeScope="" ma:versionID="576f94eb73782fb13ccaa8b10c33e455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6f07830e2700e29e2a0011b1fa6ca920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8c3799-5d6b-4fc4-84d0-86547b514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C4DF6309-C54D-434A-9F66-B6972DCB1E6C}"/>
</file>

<file path=customXml/itemProps2.xml><?xml version="1.0" encoding="utf-8"?>
<ds:datastoreItem xmlns:ds="http://schemas.openxmlformats.org/officeDocument/2006/customXml" ds:itemID="{2F8B9AE9-3CD5-463D-B3A6-B1484F484D68}"/>
</file>

<file path=customXml/itemProps3.xml><?xml version="1.0" encoding="utf-8"?>
<ds:datastoreItem xmlns:ds="http://schemas.openxmlformats.org/officeDocument/2006/customXml" ds:itemID="{13B92DA2-E3AF-489B-8CD8-030C6C0372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VIDA VOLUNTARIO</vt:lpstr>
      <vt:lpstr>AP + CANCER VOLUNTARIO</vt:lpstr>
      <vt:lpstr>ACCIDENTES MENORES VOLUNTARIO</vt:lpstr>
      <vt:lpstr>ACCIDENTES MENORES VOL_STOCK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Rubiano</dc:creator>
  <cp:lastModifiedBy>Sara Rubiano</cp:lastModifiedBy>
  <dcterms:created xsi:type="dcterms:W3CDTF">2025-07-23T19:11:26Z</dcterms:created>
  <dcterms:modified xsi:type="dcterms:W3CDTF">2026-03-06T16:50:56Z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