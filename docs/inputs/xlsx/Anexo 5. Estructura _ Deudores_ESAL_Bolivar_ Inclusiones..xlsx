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skseguros1-my.sharepoint.com/personal/sara_rubiano_buskseguros_com/Documents/Documents/Anexos API/"/>
    </mc:Choice>
  </mc:AlternateContent>
  <xr:revisionPtr revIDLastSave="9" documentId="8_{9FEA951D-C61D-4364-B274-78F57670F32C}" xr6:coauthVersionLast="47" xr6:coauthVersionMax="47" xr10:uidLastSave="{BE70ED77-8932-48AA-9B57-D73DE77A02EF}"/>
  <bookViews>
    <workbookView xWindow="20370" yWindow="855" windowWidth="29040" windowHeight="15720" firstSheet="1" activeTab="1" xr2:uid="{1D4DF171-17DD-4FF5-B07D-65CDB73B2636}"/>
  </bookViews>
  <sheets>
    <sheet name="DEUDORES MICRO Y PYME BANCO" sheetId="1" state="hidden" r:id="rId1"/>
    <sheet name="DEUDORES MICRO Y PYME ESAL" sheetId="2" r:id="rId2"/>
  </sheets>
  <definedNames>
    <definedName name="_xlnm._FilterDatabase" localSheetId="0" hidden="1">'DEUDORES MICRO Y PYME BANCO'!$A$1:$V$2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2" l="1"/>
  <c r="T2" i="2"/>
  <c r="U5" i="1"/>
  <c r="U2" i="1" l="1"/>
</calcChain>
</file>

<file path=xl/sharedStrings.xml><?xml version="1.0" encoding="utf-8"?>
<sst xmlns="http://schemas.openxmlformats.org/spreadsheetml/2006/main" count="91" uniqueCount="47">
  <si>
    <t>Nro</t>
  </si>
  <si>
    <t>POLIZA</t>
  </si>
  <si>
    <t>CODIGO SEGURO</t>
  </si>
  <si>
    <t>IDENTIFICACION</t>
  </si>
  <si>
    <t>APELLIDO PATERNO</t>
  </si>
  <si>
    <t>APELLIDO MATERNO</t>
  </si>
  <si>
    <t>NOMBRES</t>
  </si>
  <si>
    <t>FECHA DE NACIMIENTO</t>
  </si>
  <si>
    <t>GENERO</t>
  </si>
  <si>
    <t>OP BT</t>
  </si>
  <si>
    <t xml:space="preserve">FECHA ADJUDICACION </t>
  </si>
  <si>
    <t>FECHA VENCIMIENTO ACTUAL</t>
  </si>
  <si>
    <t>CO</t>
  </si>
  <si>
    <t>OFICINA</t>
  </si>
  <si>
    <t>ASESOR</t>
  </si>
  <si>
    <t>DEUDA INICIAL</t>
  </si>
  <si>
    <t xml:space="preserve">PRIMA MENSUAL </t>
  </si>
  <si>
    <t>%</t>
  </si>
  <si>
    <t>PLAZO CALCULADO</t>
  </si>
  <si>
    <t>OBSERVACIONES</t>
  </si>
  <si>
    <t xml:space="preserve">JARAMILLO                     </t>
  </si>
  <si>
    <t xml:space="preserve">                              </t>
  </si>
  <si>
    <t>LORENA VIVIANA</t>
  </si>
  <si>
    <t>Fatima</t>
  </si>
  <si>
    <t xml:space="preserve">CORDOBA LASSO GERMAN MAURICIO </t>
  </si>
  <si>
    <t>Facturacion junio</t>
  </si>
  <si>
    <t>TIPOIDENTIFICACION</t>
  </si>
  <si>
    <t>106-114</t>
  </si>
  <si>
    <t xml:space="preserve">SUAREZ                        </t>
  </si>
  <si>
    <t xml:space="preserve">OBANDO                        </t>
  </si>
  <si>
    <t>OFELIA LEONOR</t>
  </si>
  <si>
    <t>MiPyme</t>
  </si>
  <si>
    <t>FECHA VENCIMIENTO</t>
  </si>
  <si>
    <t>Microcredito</t>
  </si>
  <si>
    <t>PAZ</t>
  </si>
  <si>
    <t>MATABAJOY</t>
  </si>
  <si>
    <t>YIMMI ABELARDO</t>
  </si>
  <si>
    <t>Pasto Centro</t>
  </si>
  <si>
    <t xml:space="preserve">ROSERO MELO OSCAR WILSON      </t>
  </si>
  <si>
    <t>PLAZO</t>
  </si>
  <si>
    <t>OBSERVACIONES DICIEMBRE</t>
  </si>
  <si>
    <t>Facturacion Diciembre</t>
  </si>
  <si>
    <t>FLORIAN</t>
  </si>
  <si>
    <t>LOZANO</t>
  </si>
  <si>
    <t>YENNY CONSTANZA</t>
  </si>
  <si>
    <t>Purificacion</t>
  </si>
  <si>
    <t>RODRIGUEZ CAPERA EDNA CATHERIN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</si>
</sst>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4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" fontId="3" fillId="3" borderId="0" xfId="0" applyNumberFormat="1" applyFont="1" applyFill="1" applyAlignment="1">
      <alignment horizontal="center" vertical="center" wrapText="1"/>
    </xf>
    <xf numFmtId="1" fontId="0" fillId="0" borderId="0" xfId="2" applyNumberFormat="1" applyFont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5450-6728-4CC3-9A0B-286BC6D372EC}">
  <dimension ref="A1:V5"/>
  <sheetViews>
    <sheetView zoomScale="85" zoomScaleNormal="85" workbookViewId="0">
      <selection activeCell="K11" sqref="K11"/>
    </sheetView>
  </sheetViews>
  <sheetFormatPr baseColWidth="10" defaultRowHeight="15" x14ac:dyDescent="0.25"/>
  <cols>
    <col min="18" max="18" width="15.5703125" customWidth="1"/>
    <col min="21" max="21" width="13.140625" customWidth="1"/>
    <col min="22" max="22" width="16.42578125" customWidth="1"/>
  </cols>
  <sheetData>
    <row r="1" spans="1:22" ht="45" x14ac:dyDescent="0.25">
      <c r="A1" s="1" t="s">
        <v>0</v>
      </c>
      <c r="B1" s="1" t="s">
        <v>1</v>
      </c>
      <c r="C1" s="1" t="s">
        <v>2</v>
      </c>
      <c r="D1">
        <v>1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3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4" t="s">
        <v>18</v>
      </c>
      <c r="V1" s="5" t="s">
        <v>19</v>
      </c>
    </row>
    <row r="2" spans="1:22" x14ac:dyDescent="0.25">
      <c r="A2">
        <v>1</v>
      </c>
      <c r="B2">
        <v>103</v>
      </c>
      <c r="C2">
        <v>710</v>
      </c>
      <c r="D2">
        <v>1</v>
      </c>
      <c r="E2">
        <v>37087685</v>
      </c>
      <c r="F2" t="s">
        <v>20</v>
      </c>
      <c r="G2" t="s">
        <v>21</v>
      </c>
      <c r="H2" t="s">
        <v>22</v>
      </c>
      <c r="I2" s="6">
        <v>31225</v>
      </c>
      <c r="J2">
        <v>1</v>
      </c>
      <c r="K2">
        <v>1148814</v>
      </c>
      <c r="L2" s="6">
        <v>44252</v>
      </c>
      <c r="M2" s="6">
        <v>45849</v>
      </c>
      <c r="N2" s="6">
        <v>45849</v>
      </c>
      <c r="O2">
        <v>10</v>
      </c>
      <c r="P2" t="s">
        <v>23</v>
      </c>
      <c r="Q2" t="s">
        <v>24</v>
      </c>
      <c r="R2" s="7">
        <v>21838800</v>
      </c>
      <c r="S2" s="7">
        <v>18191.720399999998</v>
      </c>
      <c r="T2" s="8">
        <v>8.3299999999999997E-4</v>
      </c>
      <c r="U2" s="9">
        <f>ROUNDDOWN(_xlfn.DAYS(N2,L2)/30,0)</f>
        <v>53</v>
      </c>
      <c r="V2" t="s">
        <v>25</v>
      </c>
    </row>
    <row r="4" spans="1:22" ht="44.45" customHeight="1" x14ac:dyDescent="0.25">
      <c r="A4" s="1" t="s">
        <v>0</v>
      </c>
      <c r="B4" s="1" t="s">
        <v>1</v>
      </c>
      <c r="C4" s="1" t="s">
        <v>2</v>
      </c>
      <c r="D4" s="1" t="s">
        <v>26</v>
      </c>
      <c r="E4" s="1" t="s">
        <v>3</v>
      </c>
      <c r="F4" s="1" t="s">
        <v>4</v>
      </c>
      <c r="G4" s="1" t="s">
        <v>5</v>
      </c>
      <c r="H4" s="1" t="s">
        <v>6</v>
      </c>
      <c r="I4" s="2" t="s">
        <v>7</v>
      </c>
      <c r="J4" s="1" t="s">
        <v>8</v>
      </c>
      <c r="K4" s="1" t="s">
        <v>9</v>
      </c>
      <c r="L4" s="2" t="s">
        <v>10</v>
      </c>
      <c r="M4" s="2" t="s">
        <v>11</v>
      </c>
      <c r="N4" s="3" t="s">
        <v>11</v>
      </c>
      <c r="O4" s="1" t="s">
        <v>12</v>
      </c>
      <c r="P4" s="1" t="s">
        <v>13</v>
      </c>
      <c r="Q4" s="1" t="s">
        <v>14</v>
      </c>
      <c r="R4" s="10" t="s">
        <v>15</v>
      </c>
      <c r="S4" s="10" t="s">
        <v>16</v>
      </c>
      <c r="T4" s="1" t="s">
        <v>17</v>
      </c>
      <c r="U4" s="11" t="s">
        <v>18</v>
      </c>
      <c r="V4" s="5" t="s">
        <v>19</v>
      </c>
    </row>
    <row r="5" spans="1:22" x14ac:dyDescent="0.25">
      <c r="A5">
        <v>1</v>
      </c>
      <c r="B5" t="s">
        <v>27</v>
      </c>
      <c r="C5">
        <v>740</v>
      </c>
      <c r="D5">
        <v>1</v>
      </c>
      <c r="E5">
        <v>30724297</v>
      </c>
      <c r="F5" t="s">
        <v>28</v>
      </c>
      <c r="G5" t="s">
        <v>29</v>
      </c>
      <c r="H5" t="s">
        <v>30</v>
      </c>
      <c r="I5" s="6">
        <v>23134</v>
      </c>
      <c r="J5">
        <v>1</v>
      </c>
      <c r="K5">
        <v>1061093</v>
      </c>
      <c r="L5" s="6">
        <v>44027</v>
      </c>
      <c r="M5" s="6">
        <v>46220</v>
      </c>
      <c r="N5" s="6">
        <v>46220</v>
      </c>
      <c r="O5">
        <v>501</v>
      </c>
      <c r="P5" t="s">
        <v>31</v>
      </c>
      <c r="Q5" t="s">
        <v>24</v>
      </c>
      <c r="R5" s="7">
        <v>201476086</v>
      </c>
      <c r="S5" s="7">
        <v>84015.527862000003</v>
      </c>
      <c r="T5" s="8">
        <v>4.17E-4</v>
      </c>
      <c r="U5">
        <f>ROUNDDOWN(_xlfn.DAYS(M5,L5)/30,0)</f>
        <v>73</v>
      </c>
      <c r="V5" t="s">
        <v>25</v>
      </c>
    </row>
  </sheetData>
  <autoFilter ref="A1:V2" xr:uid="{FC875450-6728-4CC3-9A0B-286BC6D372E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5A99-AEE1-4FFD-AF72-6A0FA45AE889}">
  <dimension ref="A1:Y3"/>
  <sheetViews>
    <sheetView tabSelected="1" zoomScale="85" zoomScaleNormal="85" workbookViewId="0"/>
  </sheetViews>
  <sheetFormatPr baseColWidth="10" defaultRowHeight="15" x14ac:dyDescent="0.25"/>
  <cols>
    <col min="17" max="17" width="14.140625" customWidth="1"/>
    <col min="21" max="21" width="49.85546875" customWidth="1"/>
  </cols>
  <sheetData>
    <row r="1" spans="1:25" ht="46.5" customHeight="1" x14ac:dyDescent="0.25">
      <c r="A1" s="1" t="s">
        <v>0</v>
      </c>
      <c r="B1" s="1" t="s">
        <v>1</v>
      </c>
      <c r="C1" s="1" t="s">
        <v>2</v>
      </c>
      <c r="D1" s="1" t="s">
        <v>26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2" t="s">
        <v>10</v>
      </c>
      <c r="M1" s="2" t="s">
        <v>32</v>
      </c>
      <c r="N1" s="1" t="s">
        <v>12</v>
      </c>
      <c r="O1" s="1" t="s">
        <v>13</v>
      </c>
      <c r="P1" s="1" t="s">
        <v>14</v>
      </c>
      <c r="Q1" s="1" t="s">
        <v>15</v>
      </c>
      <c r="R1" s="12" t="s">
        <v>16</v>
      </c>
      <c r="S1" s="1" t="s">
        <v>17</v>
      </c>
      <c r="T1" s="13" t="s">
        <v>39</v>
      </c>
      <c r="U1" s="5" t="s">
        <v>40</v>
      </c>
      <c r="V1" s="8"/>
      <c r="W1" s="8"/>
      <c r="X1" s="8"/>
      <c r="Y1" s="8"/>
    </row>
    <row r="2" spans="1:25" x14ac:dyDescent="0.25">
      <c r="A2">
        <v>1</v>
      </c>
      <c r="B2" t="s">
        <v>33</v>
      </c>
      <c r="C2">
        <v>710</v>
      </c>
      <c r="D2">
        <v>1</v>
      </c>
      <c r="E2">
        <v>1086328361</v>
      </c>
      <c r="F2" t="s">
        <v>34</v>
      </c>
      <c r="G2" t="s">
        <v>35</v>
      </c>
      <c r="H2" t="s">
        <v>36</v>
      </c>
      <c r="I2" s="6">
        <v>31613</v>
      </c>
      <c r="J2">
        <v>2</v>
      </c>
      <c r="K2">
        <v>1579726</v>
      </c>
      <c r="L2" s="6">
        <v>45164</v>
      </c>
      <c r="M2" s="6">
        <v>46275</v>
      </c>
      <c r="N2">
        <v>28</v>
      </c>
      <c r="O2" t="s">
        <v>37</v>
      </c>
      <c r="P2" t="s">
        <v>38</v>
      </c>
      <c r="Q2" s="7">
        <v>12000000</v>
      </c>
      <c r="R2" s="7">
        <v>9996</v>
      </c>
      <c r="S2" s="8">
        <v>8.3299999999999997E-4</v>
      </c>
      <c r="T2" s="14">
        <f>ROUNDDOWN(_xlfn.DAYS(M2,L2)/30,0)</f>
        <v>37</v>
      </c>
      <c r="U2" s="8" t="s">
        <v>41</v>
      </c>
      <c r="V2" s="8"/>
      <c r="W2" s="8"/>
      <c r="X2" s="8"/>
      <c r="Y2" s="8"/>
    </row>
    <row r="3" spans="1:25" x14ac:dyDescent="0.25">
      <c r="A3">
        <v>2</v>
      </c>
      <c r="B3" t="s">
        <v>33</v>
      </c>
      <c r="C3">
        <v>710</v>
      </c>
      <c r="D3">
        <v>1</v>
      </c>
      <c r="E3">
        <v>65586990</v>
      </c>
      <c r="F3" t="s">
        <v>42</v>
      </c>
      <c r="G3" t="s">
        <v>43</v>
      </c>
      <c r="H3" t="s">
        <v>44</v>
      </c>
      <c r="I3" s="6">
        <v>26337</v>
      </c>
      <c r="J3">
        <v>1</v>
      </c>
      <c r="K3">
        <v>1569056</v>
      </c>
      <c r="L3" s="6">
        <v>45152</v>
      </c>
      <c r="M3" s="6">
        <v>46248</v>
      </c>
      <c r="N3">
        <v>44</v>
      </c>
      <c r="O3" t="s">
        <v>45</v>
      </c>
      <c r="P3" t="s">
        <v>46</v>
      </c>
      <c r="Q3" s="7">
        <v>10000000</v>
      </c>
      <c r="R3" s="7">
        <v>8330</v>
      </c>
      <c r="S3" s="8">
        <v>8.3299999999999997E-4</v>
      </c>
      <c r="T3" s="14">
        <f t="shared" ref="T3" si="0">ROUNDDOWN(_xlfn.DAYS(M3,L3)/30,0)</f>
        <v>36</v>
      </c>
      <c r="U3" s="8" t="s">
        <v>41</v>
      </c>
      <c r="V3" s="8"/>
      <c r="W3" s="8"/>
      <c r="X3" s="8"/>
      <c r="Y3" s="8"/>
    </row>
  </sheetData>
  <conditionalFormatting sqref="K2:K3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6" ma:contentTypeDescription="Crear nuevo documento." ma:contentTypeScope="" ma:versionID="576f94eb73782fb13ccaa8b10c33e455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6f07830e2700e29e2a0011b1fa6ca920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8c3799-5d6b-4fc4-84d0-86547b514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D4996CDF-0C80-4608-807E-230A6869353B}"/>
</file>

<file path=customXml/itemProps2.xml><?xml version="1.0" encoding="utf-8"?>
<ds:datastoreItem xmlns:ds="http://schemas.openxmlformats.org/officeDocument/2006/customXml" ds:itemID="{8EE24702-84A8-4F2E-8A6F-B16ED9EC62F8}"/>
</file>

<file path=customXml/itemProps3.xml><?xml version="1.0" encoding="utf-8"?>
<ds:datastoreItem xmlns:ds="http://schemas.openxmlformats.org/officeDocument/2006/customXml" ds:itemID="{32146E83-A8C1-45D9-B559-A611C18FE9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DEUDORES MICRO Y PYME BANCO</vt:lpstr>
      <vt:lpstr>DEUDORES MICRO Y PYME ESAL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Rubiano</dc:creator>
  <cp:lastModifiedBy>Sara Rubiano</cp:lastModifiedBy>
  <dcterms:created xsi:type="dcterms:W3CDTF">2025-07-23T20:50:20Z</dcterms:created>
  <dcterms:modified xsi:type="dcterms:W3CDTF">2026-03-06T16:59:16Z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</Properties>
</file>